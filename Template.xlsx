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rda\Downloads\"/>
    </mc:Choice>
  </mc:AlternateContent>
  <xr:revisionPtr revIDLastSave="0" documentId="13_ncr:1_{9E32DA42-FC54-4F25-8F7B-244F758A5D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uly 2025 Summary" sheetId="7" r:id="rId1"/>
    <sheet name="28.07.25" sheetId="23" r:id="rId2"/>
    <sheet name="31.07.25" sheetId="2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7" i="26" l="1"/>
  <c r="P27" i="26"/>
  <c r="O27" i="26"/>
  <c r="S20" i="23"/>
  <c r="P20" i="23"/>
  <c r="O20" i="23"/>
  <c r="S26" i="7"/>
  <c r="S25" i="7"/>
  <c r="S24" i="7"/>
  <c r="S23" i="7"/>
  <c r="S22" i="7"/>
  <c r="K26" i="7"/>
  <c r="K25" i="7"/>
  <c r="K24" i="7"/>
  <c r="K23" i="7"/>
  <c r="K22" i="7"/>
  <c r="AP26" i="7"/>
  <c r="AP25" i="7"/>
  <c r="AP24" i="7"/>
  <c r="AP23" i="7"/>
  <c r="AP22" i="7"/>
  <c r="AI26" i="7"/>
  <c r="AI25" i="7"/>
  <c r="AI24" i="7"/>
  <c r="AI23" i="7"/>
  <c r="AI22" i="7"/>
  <c r="AA26" i="7"/>
  <c r="AA25" i="7"/>
  <c r="AA24" i="7"/>
  <c r="AA23" i="7"/>
  <c r="AA22" i="7"/>
  <c r="AP13" i="7"/>
  <c r="AP12" i="7"/>
  <c r="AP11" i="7"/>
  <c r="AP10" i="7"/>
  <c r="AP8" i="7"/>
  <c r="AP7" i="7"/>
  <c r="AP6" i="7"/>
  <c r="AP5" i="7"/>
  <c r="AI13" i="7"/>
  <c r="AI12" i="7"/>
  <c r="AI11" i="7"/>
  <c r="AI10" i="7"/>
  <c r="AI8" i="7"/>
  <c r="AI7" i="7"/>
  <c r="AI6" i="7"/>
  <c r="AI5" i="7"/>
  <c r="AA13" i="7"/>
  <c r="AA12" i="7"/>
  <c r="AA11" i="7"/>
  <c r="AA10" i="7"/>
  <c r="AA8" i="7"/>
  <c r="AA7" i="7"/>
  <c r="AA6" i="7"/>
  <c r="AA5" i="7"/>
  <c r="S11" i="7"/>
  <c r="S13" i="7"/>
  <c r="S12" i="7"/>
  <c r="S10" i="7"/>
  <c r="S8" i="7"/>
  <c r="S7" i="7"/>
  <c r="S6" i="7"/>
  <c r="S5" i="7"/>
  <c r="K13" i="7"/>
  <c r="K12" i="7"/>
  <c r="K11" i="7"/>
  <c r="K10" i="7"/>
  <c r="K8" i="7"/>
  <c r="K7" i="7"/>
  <c r="K6" i="7"/>
  <c r="K5" i="7"/>
  <c r="AR23" i="7" l="1"/>
  <c r="AR24" i="7"/>
  <c r="AR22" i="7"/>
  <c r="AR25" i="7"/>
  <c r="AR26" i="7"/>
  <c r="S15" i="7"/>
  <c r="AP15" i="7"/>
  <c r="AI18" i="7"/>
  <c r="S17" i="7"/>
  <c r="S18" i="7"/>
  <c r="AP16" i="7"/>
  <c r="AA16" i="7"/>
  <c r="AA15" i="7"/>
  <c r="AA17" i="7"/>
  <c r="AP17" i="7"/>
  <c r="AP18" i="7"/>
  <c r="AI15" i="7"/>
  <c r="AI17" i="7"/>
  <c r="AA18" i="7"/>
  <c r="AI16" i="7"/>
  <c r="S16" i="7"/>
  <c r="AR13" i="7"/>
  <c r="AR12" i="7"/>
  <c r="AR11" i="7"/>
  <c r="AR10" i="7"/>
  <c r="AR8" i="7"/>
  <c r="AR7" i="7"/>
  <c r="AR6" i="7"/>
  <c r="AR5" i="7"/>
  <c r="K18" i="7"/>
  <c r="K15" i="7"/>
  <c r="K17" i="7"/>
  <c r="K16" i="7"/>
  <c r="AR18" i="7" l="1"/>
  <c r="AR17" i="7"/>
  <c r="AR16" i="7"/>
  <c r="AR15" i="7"/>
</calcChain>
</file>

<file path=xl/sharedStrings.xml><?xml version="1.0" encoding="utf-8"?>
<sst xmlns="http://schemas.openxmlformats.org/spreadsheetml/2006/main" count="653" uniqueCount="292">
  <si>
    <t xml:space="preserve">Consignment Extract </t>
  </si>
  <si>
    <t>Business(es) :  All</t>
  </si>
  <si>
    <t xml:space="preserve">Consignment:     </t>
  </si>
  <si>
    <t xml:space="preserve">Consignment </t>
  </si>
  <si>
    <t>Manifest</t>
  </si>
  <si>
    <t>Status</t>
  </si>
  <si>
    <t>Create Date</t>
  </si>
  <si>
    <t>Customer</t>
  </si>
  <si>
    <t>Pickup From</t>
  </si>
  <si>
    <t>Planned Pickup Date</t>
  </si>
  <si>
    <t>Actual Pickup Date</t>
  </si>
  <si>
    <t>Deliver To</t>
  </si>
  <si>
    <t>City</t>
  </si>
  <si>
    <t>Planned Deliver Date</t>
  </si>
  <si>
    <t>Actual Deliver Date</t>
  </si>
  <si>
    <t>Load Description</t>
  </si>
  <si>
    <t>Item</t>
  </si>
  <si>
    <t>Weight</t>
  </si>
  <si>
    <t>Volume</t>
  </si>
  <si>
    <t>Qty 1</t>
  </si>
  <si>
    <t>UOM 1</t>
  </si>
  <si>
    <t>Qty 4</t>
  </si>
  <si>
    <t>UOM 4</t>
  </si>
  <si>
    <t>Comments</t>
  </si>
  <si>
    <t>PO Number</t>
  </si>
  <si>
    <t>DELIVERED</t>
  </si>
  <si>
    <t>Essity - Christchurch DC</t>
  </si>
  <si>
    <t>CHRISTCHURCH</t>
  </si>
  <si>
    <t>Palleted Goods</t>
  </si>
  <si>
    <t>Lifts</t>
  </si>
  <si>
    <t/>
  </si>
  <si>
    <t>Chep plts</t>
  </si>
  <si>
    <t>The Service Company - Christchurch</t>
  </si>
  <si>
    <t>NXP Christchurch</t>
  </si>
  <si>
    <t>Loose Cartons</t>
  </si>
  <si>
    <t>Cartons</t>
  </si>
  <si>
    <t>OfficeMax Christchurch</t>
  </si>
  <si>
    <t>Foodstuffs South Island Limited</t>
  </si>
  <si>
    <t>DUNEDIN</t>
  </si>
  <si>
    <t>Snell Packaging &amp;amp; Safety  CHCH</t>
  </si>
  <si>
    <t>Woolworths New Zealand Limited</t>
  </si>
  <si>
    <t>DISPATCHED</t>
  </si>
  <si>
    <t>Christchurch</t>
  </si>
  <si>
    <t>ARA Hardware LP</t>
  </si>
  <si>
    <t>NZSB Christchurch</t>
  </si>
  <si>
    <t>TUE 2P</t>
  </si>
  <si>
    <t>Spicers Christchurch</t>
  </si>
  <si>
    <t>Alsco NZ- Christchurch</t>
  </si>
  <si>
    <t>TUE 6P</t>
  </si>
  <si>
    <t>TUE 5P</t>
  </si>
  <si>
    <t>Alsco NZ - Dunedin</t>
  </si>
  <si>
    <t>MON 28P</t>
  </si>
  <si>
    <t>Bidfood FSV Christchurch</t>
  </si>
  <si>
    <t>INVERCARGILL</t>
  </si>
  <si>
    <t>CHEMIST WAREHOUSE ROLLESTON B788</t>
  </si>
  <si>
    <t>Alsco Invercargill</t>
  </si>
  <si>
    <t>FRI 5P</t>
  </si>
  <si>
    <t>FRI 10P</t>
  </si>
  <si>
    <t>orders</t>
  </si>
  <si>
    <t>weight</t>
  </si>
  <si>
    <t>cube</t>
  </si>
  <si>
    <t>pallets</t>
  </si>
  <si>
    <t>CHC    Metro</t>
  </si>
  <si>
    <t xml:space="preserve">   Out         Of     Town </t>
  </si>
  <si>
    <t>THUR 12P</t>
  </si>
  <si>
    <t>Samples Marketing TPH-Christchurch</t>
  </si>
  <si>
    <t>Week 1</t>
  </si>
  <si>
    <t>FRI 1P</t>
  </si>
  <si>
    <t>PCHR37970</t>
  </si>
  <si>
    <t>fri 1p</t>
  </si>
  <si>
    <t>Carrier(s) :         Cardinal Logistics Ltd, Linfox Logistics NZ Ltd</t>
  </si>
  <si>
    <t>Week 2</t>
  </si>
  <si>
    <t xml:space="preserve">Week 3 </t>
  </si>
  <si>
    <t>Week 4</t>
  </si>
  <si>
    <t>Week 5</t>
  </si>
  <si>
    <t>MONTHS TOTALS</t>
  </si>
  <si>
    <t>MON 14P</t>
  </si>
  <si>
    <t>TUE 4P</t>
  </si>
  <si>
    <t>18/07/2025 00:00:00</t>
  </si>
  <si>
    <t>4502334788</t>
  </si>
  <si>
    <t>FRI 28P</t>
  </si>
  <si>
    <t>21/07/2025 00:00:00</t>
  </si>
  <si>
    <t>containers</t>
  </si>
  <si>
    <t>trucks</t>
  </si>
  <si>
    <t>date</t>
  </si>
  <si>
    <t>day</t>
  </si>
  <si>
    <t>mon 1p</t>
  </si>
  <si>
    <t>3537288482</t>
  </si>
  <si>
    <t>18/07/2025 05:39:43</t>
  </si>
  <si>
    <t>Dispatch TOTAL</t>
  </si>
  <si>
    <t>Inwards devanning TOTAL</t>
  </si>
  <si>
    <t>non chep steve samples</t>
  </si>
  <si>
    <t>25/07/2025 00:00:00</t>
  </si>
  <si>
    <t>28/07/2025 00:00:00</t>
  </si>
  <si>
    <t>25/07/2025 05:42:25</t>
  </si>
  <si>
    <t>K721471</t>
  </si>
  <si>
    <t>TUES 1P</t>
  </si>
  <si>
    <t>Palleted Goods: 186.82 Kilogram, 0.848 m³, 1 Lifts, 1 Pallets, 1 Chep</t>
  </si>
  <si>
    <t>29/07/2025 11:07:54</t>
  </si>
  <si>
    <t>29/07/2025 00:00:00</t>
  </si>
  <si>
    <t>28/07/2025 14:34:15</t>
  </si>
  <si>
    <t>28/07/2025 12:01:25</t>
  </si>
  <si>
    <t>9901632504</t>
  </si>
  <si>
    <t>3537290584</t>
  </si>
  <si>
    <t>PO1090145</t>
  </si>
  <si>
    <t>TUES 10P</t>
  </si>
  <si>
    <t>Palleted Goods: 2583.929 Kilogram, 13.848 m³, 5 Lifts, 10 Pallets, 10 Chep</t>
  </si>
  <si>
    <t>29/07/2025 14:02:16</t>
  </si>
  <si>
    <t>28/07/2025 14:34:17</t>
  </si>
  <si>
    <t>28/07/2025 11:30:58</t>
  </si>
  <si>
    <t>3537290563</t>
  </si>
  <si>
    <t>pivc29034</t>
  </si>
  <si>
    <t>Palleted Goods: 691.788 Kilogram, 4.556 m³, 2 Lifts, 4 Pallets, 4 Chep</t>
  </si>
  <si>
    <t>29/07/2025 14:06:03</t>
  </si>
  <si>
    <t>28/07/2025 10:28:06</t>
  </si>
  <si>
    <t>28/07/2025 05:34:09</t>
  </si>
  <si>
    <t>9901632462</t>
  </si>
  <si>
    <t>3537290383</t>
  </si>
  <si>
    <t>601565</t>
  </si>
  <si>
    <t>Palleted Goods: 1092.608 Kilogram, 6.602 m³, 3 Lifts, 5 Pallets, 5 Chep</t>
  </si>
  <si>
    <t>29/07/2025 11:08:34</t>
  </si>
  <si>
    <t>28/07/2025 14:34:13</t>
  </si>
  <si>
    <t>28/07/2025 05:34:08</t>
  </si>
  <si>
    <t>3537290382</t>
  </si>
  <si>
    <t>84385638</t>
  </si>
  <si>
    <t>Palleted Goods: 411.798 Kilogram, 2.239 m³, 1 Lifts, 2 Pallets, 2 Chep</t>
  </si>
  <si>
    <t>29/07/2025 10:43:30</t>
  </si>
  <si>
    <t>28/07/2025 14:34:14</t>
  </si>
  <si>
    <t>28/07/2025 05:34:07</t>
  </si>
  <si>
    <t>3537290381</t>
  </si>
  <si>
    <t>PCHR38080</t>
  </si>
  <si>
    <t>Palleted Goods: 1293.125 Kilogram, 7.125 m³, 3 Lifts, 6 Pallets, 6 Chep</t>
  </si>
  <si>
    <t>28/07/2025 16:13:09</t>
  </si>
  <si>
    <t>28/07/2025 11:04:04</t>
  </si>
  <si>
    <t>28/07/2025 05:34:06</t>
  </si>
  <si>
    <t>9901632467</t>
  </si>
  <si>
    <t>3537290379</t>
  </si>
  <si>
    <t>0109727311</t>
  </si>
  <si>
    <t>MON 26P</t>
  </si>
  <si>
    <t>Palleted Goods: 4810.49 Kilogram, 39.475 m³, 13 Lifts, 26 Pallets, 26 Chep</t>
  </si>
  <si>
    <t>28/07/2025 16:45:11</t>
  </si>
  <si>
    <t>28/07/2025 13:31:33</t>
  </si>
  <si>
    <t>25/07/2025 11:48:30</t>
  </si>
  <si>
    <t>9901632490</t>
  </si>
  <si>
    <t>3537290248</t>
  </si>
  <si>
    <t>0109727310</t>
  </si>
  <si>
    <t>Palleted Goods: 524.724 Kilogram, 4.935 m³, 7 Lifts, 14 Pallets, 572 Cartons, 14 Chep</t>
  </si>
  <si>
    <t>28/07/2025 13:31:35</t>
  </si>
  <si>
    <t>3537290247</t>
  </si>
  <si>
    <t>5146161</t>
  </si>
  <si>
    <t>Palleted Goods: 74.5 Kilogram, 0.542 m³, 1 Lifts, 1 Pallets, 1 Chep</t>
  </si>
  <si>
    <t>28/07/2025 15:16:43</t>
  </si>
  <si>
    <t>28/07/2025 09:02:51</t>
  </si>
  <si>
    <t>25/07/2025 10:57:30</t>
  </si>
  <si>
    <t>9901632451</t>
  </si>
  <si>
    <t>3537290233</t>
  </si>
  <si>
    <t>334054</t>
  </si>
  <si>
    <t>Palleted Goods: 4579.8 Kilogram, 41.678 m³, 14 Lifts, 28 Pallets, 28 Chep</t>
  </si>
  <si>
    <t>28/07/2025 04:44:41</t>
  </si>
  <si>
    <t>25/07/2025 08:42:47</t>
  </si>
  <si>
    <t>9901632401</t>
  </si>
  <si>
    <t>3537290178</t>
  </si>
  <si>
    <t>5145954</t>
  </si>
  <si>
    <t>mon 54p</t>
  </si>
  <si>
    <t>Palleted Goods: 12649.785 Kilogram, 74.682 m³, 27 Lifts, 54 Pallets, 54 Chep</t>
  </si>
  <si>
    <t>28/07/2025 09:02:52</t>
  </si>
  <si>
    <t>25/07/2025 07:18:21</t>
  </si>
  <si>
    <t>3537290152</t>
  </si>
  <si>
    <t>PCHR38071</t>
  </si>
  <si>
    <t xml:space="preserve">mon 6p
</t>
  </si>
  <si>
    <t>Palleted Goods: 1257.224 Kilogram, 7.328 m³, 3 Lifts, 6 Pallets, 6 Chep</t>
  </si>
  <si>
    <t>28/07/2025 11:04:02</t>
  </si>
  <si>
    <t>3537290112</t>
  </si>
  <si>
    <t>Pickup From:    28 Jul 2025      To:  28 Jul 2025</t>
  </si>
  <si>
    <t>30/07/2025 00:00:00</t>
  </si>
  <si>
    <t>01/08/2025 00:00:00</t>
  </si>
  <si>
    <t>31/07/2025 00:00:00</t>
  </si>
  <si>
    <t>SR OMX Samples</t>
  </si>
  <si>
    <t>Loose Cartons: 13.694 Kilogram, 0.086 m³, 2 Cartons</t>
  </si>
  <si>
    <t>31/07/2025 10:19:16</t>
  </si>
  <si>
    <t>31/07/2025 10:34:17</t>
  </si>
  <si>
    <t>9901632819</t>
  </si>
  <si>
    <t>3537291483</t>
  </si>
  <si>
    <t>SR AsureQuality replacements</t>
  </si>
  <si>
    <t>non chep Steve Samples</t>
  </si>
  <si>
    <t>Loose Cartons: 25.77 Kilogram, 0.168 m³, 3 Cartons</t>
  </si>
  <si>
    <t>31/07/2025 10:19:15</t>
  </si>
  <si>
    <t>31/07/2025 09:40:19</t>
  </si>
  <si>
    <t>3537291466</t>
  </si>
  <si>
    <t>4502337342</t>
  </si>
  <si>
    <t>Palleted Goods: 111.36 Kilogram, 0.493 m³, 1 Lifts, 1 Pallets, 1 Chep</t>
  </si>
  <si>
    <t>31/07/2025 11:04:52</t>
  </si>
  <si>
    <t>31/07/2025 09:03:46</t>
  </si>
  <si>
    <t>9901632828</t>
  </si>
  <si>
    <t>3537291445</t>
  </si>
  <si>
    <t>6100009285</t>
  </si>
  <si>
    <t>FRI 43P</t>
  </si>
  <si>
    <t>Palleted Goods: 7157.2 Kilogram, 64.588 m³, 22 Lifts, 43 Pallets, 43 Chep</t>
  </si>
  <si>
    <t>31/07/2025 11:55:15</t>
  </si>
  <si>
    <t>31/07/2025 08:28:56</t>
  </si>
  <si>
    <t>9901632841</t>
  </si>
  <si>
    <t>3537291429</t>
  </si>
  <si>
    <t>336026</t>
  </si>
  <si>
    <t>Palleted Goods: 3728 Kilogram, 36.397 m³, 14 Lifts, 28 Pallets, 770 Cartons, 28 Chep</t>
  </si>
  <si>
    <t>31/07/2025 13:11:58</t>
  </si>
  <si>
    <t>31/07/2025 08:28:54</t>
  </si>
  <si>
    <t>9901632856</t>
  </si>
  <si>
    <t>3537291428</t>
  </si>
  <si>
    <t>6100009280</t>
  </si>
  <si>
    <t>Palleted Goods: 743.2 Kilogram, 6.524 m³, 2 Lifts, 5 Pallets, 5 Chep</t>
  </si>
  <si>
    <t>31/07/2025 11:55:16</t>
  </si>
  <si>
    <t>31/07/2025 08:02:12</t>
  </si>
  <si>
    <t>3537291413</t>
  </si>
  <si>
    <t>PDDI22697</t>
  </si>
  <si>
    <t>fri 9p</t>
  </si>
  <si>
    <t>Palleted Goods: 2061.616 Kilogram, 12.067 m³, 5 Lifts, 9 Pallets, 9 Chep</t>
  </si>
  <si>
    <t>31/07/2025 11:26:48</t>
  </si>
  <si>
    <t>31/07/2025 06:07:18</t>
  </si>
  <si>
    <t>9901632836</t>
  </si>
  <si>
    <t>3537291369</t>
  </si>
  <si>
    <t>601647</t>
  </si>
  <si>
    <t>Non chep courier #LJ118697647NZ</t>
  </si>
  <si>
    <t>Loose Cartons: 7.44 Kilogram, 0.076 m³, 8 Cartons</t>
  </si>
  <si>
    <t>31/07/2025 11:15:04</t>
  </si>
  <si>
    <t>31/07/2025 06:07:16</t>
  </si>
  <si>
    <t>9901632830</t>
  </si>
  <si>
    <t>3537291368</t>
  </si>
  <si>
    <t>35870sca.AsaleoPersonal</t>
  </si>
  <si>
    <t>Palleted Goods: 54.887 Kilogram, 0.402 m³, 1 Lifts, 1 Pallets, 1 Chep</t>
  </si>
  <si>
    <t>31/07/2025 11:04:55</t>
  </si>
  <si>
    <t>3537291367</t>
  </si>
  <si>
    <t>202415</t>
  </si>
  <si>
    <t>Palleted Goods: 48.93 Kilogram, 0.375 m³, 1 Lifts, 1 Pallets, 1 Chep</t>
  </si>
  <si>
    <t>31/07/2025 11:04:56</t>
  </si>
  <si>
    <t>31/07/2025 06:07:15</t>
  </si>
  <si>
    <t>3537291366</t>
  </si>
  <si>
    <t>139082</t>
  </si>
  <si>
    <t>Palleted Goods: 2263.258 Kilogram, 12.99 m³, 5 Lifts, 10 Pallets, 10 Chep</t>
  </si>
  <si>
    <t>31/07/2025 11:04:54</t>
  </si>
  <si>
    <t>31/07/2025 06:07:13</t>
  </si>
  <si>
    <t>3537291365</t>
  </si>
  <si>
    <t>1P00157634</t>
  </si>
  <si>
    <t>ETA TBC 1P</t>
  </si>
  <si>
    <t>Palleted Goods: 62.84 Kilogram, 0.576 m³, 1 Lifts, 1 Pallets, 1 Chep</t>
  </si>
  <si>
    <t>LOWER HUTT</t>
  </si>
  <si>
    <t>Plumbing World Lower Hutt</t>
  </si>
  <si>
    <t>31/07/2025 09:46:53</t>
  </si>
  <si>
    <t>31/07/2025 05:56:22</t>
  </si>
  <si>
    <t>9901632812</t>
  </si>
  <si>
    <t>3537291364</t>
  </si>
  <si>
    <t>0109739346</t>
  </si>
  <si>
    <t>THUR 66P</t>
  </si>
  <si>
    <t>Palleted Goods: 10326.04 Kilogram, 98.557 m³, 33 Lifts, 66 Pallets, 66 Chep</t>
  </si>
  <si>
    <t>31/07/2025 12:24:33</t>
  </si>
  <si>
    <t>30/07/2025 11:44:56</t>
  </si>
  <si>
    <t>9901632846</t>
  </si>
  <si>
    <t>3537291213</t>
  </si>
  <si>
    <t>PO1090253</t>
  </si>
  <si>
    <t>Palleted Goods: 3143.8 Kilogram, 16.27 m³, 6 Lifts, 12 Pallets, 12 Chep</t>
  </si>
  <si>
    <t>31/07/2025 04:48:42</t>
  </si>
  <si>
    <t>30/07/2025 11:00:39</t>
  </si>
  <si>
    <t>9901632766</t>
  </si>
  <si>
    <t>3537291198</t>
  </si>
  <si>
    <t>4502336818</t>
  </si>
  <si>
    <t>Palleted Goods: 2683.002 Kilogram, 15.106 m³, 6 Lifts, 12 Pallets, 12 Chep</t>
  </si>
  <si>
    <t>31/07/2025 04:48:40</t>
  </si>
  <si>
    <t>30/07/2025 05:46:23</t>
  </si>
  <si>
    <t>3537291048</t>
  </si>
  <si>
    <t>PCHR38107</t>
  </si>
  <si>
    <t>thu 7p</t>
  </si>
  <si>
    <t>Palleted Goods: 1584.545 Kilogram, 8.724 m³, 4 Lifts, 7 Pallets, 7 Chep</t>
  </si>
  <si>
    <t>31/07/2025 15:00:54</t>
  </si>
  <si>
    <t>31/07/2025 09:00:21</t>
  </si>
  <si>
    <t>9901632810</t>
  </si>
  <si>
    <t>3537291047</t>
  </si>
  <si>
    <t>thu no chep
sent with 3537291047</t>
  </si>
  <si>
    <t>Loose Cartons: 1 Kilogram, 0.02 m³, 2 Cartons</t>
  </si>
  <si>
    <t>31/07/2025 15:00:53</t>
  </si>
  <si>
    <t>31/07/2025 09:00:22</t>
  </si>
  <si>
    <t>30/07/2025 05:46:22</t>
  </si>
  <si>
    <t>3537291046</t>
  </si>
  <si>
    <t>Loose Cartons: 34.824 Kilogram, 0.348 m³, 48 Cartons</t>
  </si>
  <si>
    <t>31/07/2025 09:00:23</t>
  </si>
  <si>
    <t>30/07/2025 05:46:19</t>
  </si>
  <si>
    <t>3537291045</t>
  </si>
  <si>
    <t>Backorder to go with main order. 3537291048</t>
  </si>
  <si>
    <t>Loose Cartons: 34.65 Kilogram, 0.567 m³, 7 Cartons</t>
  </si>
  <si>
    <t>31/07/2025 04:48:41</t>
  </si>
  <si>
    <t>Pickup From:    31 Jul 2025      To:  31 Jul 2025</t>
  </si>
  <si>
    <t>WW</t>
  </si>
  <si>
    <t>FS CHC</t>
  </si>
  <si>
    <t>FS DUD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</si>
</sst>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9">
    <xf numFmtId="0" fontId="1" fillId="0" borderId="0" xfId="0" applyFont="1"/>
    <xf numFmtId="0" fontId="1" fillId="0" borderId="1" xfId="0" applyFont="1" applyBorder="1"/>
    <xf numFmtId="16" fontId="1" fillId="0" borderId="0" xfId="0" applyNumberFormat="1" applyFont="1"/>
    <xf numFmtId="164" fontId="1" fillId="0" borderId="0" xfId="0" applyNumberFormat="1" applyFont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1" fontId="1" fillId="0" borderId="1" xfId="0" applyNumberFormat="1" applyFont="1" applyBorder="1"/>
    <xf numFmtId="164" fontId="1" fillId="0" borderId="1" xfId="0" applyNumberFormat="1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1" fontId="2" fillId="0" borderId="1" xfId="0" applyNumberFormat="1" applyFont="1" applyBorder="1"/>
    <xf numFmtId="164" fontId="2" fillId="0" borderId="1" xfId="0" applyNumberFormat="1" applyFont="1" applyBorder="1"/>
    <xf numFmtId="0" fontId="2" fillId="0" borderId="0" xfId="0" applyFont="1"/>
    <xf numFmtId="16" fontId="1" fillId="0" borderId="0" xfId="0" applyNumberFormat="1" applyFont="1" applyAlignment="1">
      <alignment horizontal="center" vertical="center" wrapText="1"/>
    </xf>
    <xf numFmtId="16" fontId="1" fillId="0" borderId="6" xfId="0" applyNumberFormat="1" applyFont="1" applyBorder="1"/>
    <xf numFmtId="0" fontId="1" fillId="0" borderId="13" xfId="0" applyFont="1" applyBorder="1"/>
    <xf numFmtId="1" fontId="1" fillId="0" borderId="14" xfId="0" applyNumberFormat="1" applyFont="1" applyBorder="1"/>
    <xf numFmtId="164" fontId="1" fillId="0" borderId="14" xfId="0" applyNumberFormat="1" applyFont="1" applyBorder="1"/>
    <xf numFmtId="2" fontId="1" fillId="0" borderId="14" xfId="0" applyNumberFormat="1" applyFont="1" applyBorder="1"/>
    <xf numFmtId="0" fontId="1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16" fontId="1" fillId="0" borderId="10" xfId="0" applyNumberFormat="1" applyFont="1" applyBorder="1"/>
    <xf numFmtId="1" fontId="1" fillId="0" borderId="11" xfId="0" applyNumberFormat="1" applyFont="1" applyBorder="1"/>
    <xf numFmtId="164" fontId="1" fillId="0" borderId="10" xfId="0" applyNumberFormat="1" applyFont="1" applyBorder="1"/>
    <xf numFmtId="1" fontId="1" fillId="0" borderId="12" xfId="0" applyNumberFormat="1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1" xfId="0" applyFont="1" applyBorder="1" applyAlignment="1">
      <alignment vertical="top" wrapText="1" readingOrder="1"/>
    </xf>
    <xf numFmtId="0" fontId="7" fillId="0" borderId="1" xfId="0" applyFont="1" applyBorder="1" applyAlignment="1">
      <alignment horizontal="left" vertical="top" wrapText="1" readingOrder="2"/>
    </xf>
    <xf numFmtId="0" fontId="7" fillId="0" borderId="1" xfId="0" applyFont="1" applyBorder="1" applyAlignment="1">
      <alignment horizontal="right" vertical="top" wrapText="1" readingOrder="2"/>
    </xf>
    <xf numFmtId="0" fontId="8" fillId="0" borderId="1" xfId="0" applyFont="1" applyBorder="1" applyAlignment="1">
      <alignment vertical="top" wrapText="1" readingOrder="1"/>
    </xf>
    <xf numFmtId="0" fontId="8" fillId="0" borderId="1" xfId="0" applyFont="1" applyBorder="1" applyAlignment="1">
      <alignment horizontal="left" vertical="top" wrapText="1" readingOrder="1"/>
    </xf>
    <xf numFmtId="0" fontId="8" fillId="0" borderId="1" xfId="0" applyFont="1" applyBorder="1" applyAlignment="1">
      <alignment horizontal="right" vertical="top" wrapText="1" readingOrder="1"/>
    </xf>
    <xf numFmtId="0" fontId="8" fillId="2" borderId="1" xfId="0" applyFont="1" applyFill="1" applyBorder="1" applyAlignment="1">
      <alignment horizontal="left" vertical="top" wrapText="1" readingOrder="1"/>
    </xf>
    <xf numFmtId="0" fontId="8" fillId="2" borderId="1" xfId="0" applyFont="1" applyFill="1" applyBorder="1" applyAlignment="1">
      <alignment horizontal="right" vertical="top" wrapText="1" readingOrder="1"/>
    </xf>
    <xf numFmtId="0" fontId="2" fillId="0" borderId="1" xfId="0" applyFont="1" applyBorder="1"/>
    <xf numFmtId="0" fontId="8" fillId="3" borderId="1" xfId="0" applyFont="1" applyFill="1" applyBorder="1" applyAlignment="1">
      <alignment horizontal="left" vertical="top" wrapText="1" readingOrder="1"/>
    </xf>
    <xf numFmtId="16" fontId="1" fillId="0" borderId="1" xfId="0" applyNumberFormat="1" applyFont="1" applyBorder="1" applyAlignment="1">
      <alignment horizontal="center"/>
    </xf>
    <xf numFmtId="16" fontId="1" fillId="0" borderId="17" xfId="0" applyNumberFormat="1" applyFont="1" applyBorder="1" applyAlignment="1">
      <alignment horizontal="center"/>
    </xf>
    <xf numFmtId="1" fontId="1" fillId="0" borderId="19" xfId="0" applyNumberFormat="1" applyFont="1" applyBorder="1"/>
    <xf numFmtId="0" fontId="1" fillId="0" borderId="20" xfId="0" applyFont="1" applyBorder="1"/>
    <xf numFmtId="0" fontId="1" fillId="0" borderId="21" xfId="0" applyFont="1" applyBorder="1"/>
    <xf numFmtId="1" fontId="2" fillId="0" borderId="17" xfId="0" applyNumberFormat="1" applyFont="1" applyBorder="1"/>
    <xf numFmtId="0" fontId="1" fillId="0" borderId="19" xfId="0" applyFont="1" applyBorder="1"/>
    <xf numFmtId="0" fontId="1" fillId="0" borderId="17" xfId="0" applyFont="1" applyBorder="1"/>
    <xf numFmtId="16" fontId="1" fillId="0" borderId="9" xfId="0" applyNumberFormat="1" applyFont="1" applyBorder="1"/>
    <xf numFmtId="0" fontId="8" fillId="3" borderId="1" xfId="0" applyFont="1" applyFill="1" applyBorder="1" applyAlignment="1">
      <alignment horizontal="right" vertical="top" wrapText="1" readingOrder="1"/>
    </xf>
    <xf numFmtId="1" fontId="1" fillId="0" borderId="3" xfId="0" applyNumberFormat="1" applyFont="1" applyBorder="1"/>
    <xf numFmtId="1" fontId="1" fillId="0" borderId="6" xfId="0" applyNumberFormat="1" applyFont="1" applyBorder="1"/>
    <xf numFmtId="1" fontId="1" fillId="0" borderId="20" xfId="0" applyNumberFormat="1" applyFont="1" applyBorder="1"/>
    <xf numFmtId="0" fontId="1" fillId="0" borderId="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16" fontId="1" fillId="0" borderId="8" xfId="0" applyNumberFormat="1" applyFont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top" wrapText="1" readingOrder="1"/>
    </xf>
    <xf numFmtId="0" fontId="2" fillId="0" borderId="0" xfId="0" applyFont="1"/>
    <xf numFmtId="0" fontId="6" fillId="0" borderId="0" xfId="0" applyFont="1" applyAlignment="1">
      <alignment horizontal="left" vertical="top" wrapText="1" readingOrder="2"/>
    </xf>
    <xf numFmtId="0" fontId="6" fillId="0" borderId="0" xfId="0" applyFont="1" applyAlignment="1">
      <alignment horizontal="left" vertical="top" wrapText="1" readingOrder="1"/>
    </xf>
    <xf numFmtId="16" fontId="1" fillId="0" borderId="0" xfId="0" applyNumberFormat="1" applyFont="1" applyBorder="1"/>
    <xf numFmtId="0" fontId="1" fillId="0" borderId="0" xfId="0" applyFont="1" applyBorder="1"/>
    <xf numFmtId="0" fontId="1" fillId="0" borderId="8" xfId="0" applyFont="1" applyBorder="1"/>
    <xf numFmtId="0" fontId="1" fillId="0" borderId="2" xfId="0" applyFont="1" applyBorder="1"/>
    <xf numFmtId="16" fontId="1" fillId="0" borderId="11" xfId="0" applyNumberFormat="1" applyFont="1" applyBorder="1"/>
    <xf numFmtId="16" fontId="1" fillId="0" borderId="3" xfId="0" applyNumberFormat="1" applyFont="1" applyBorder="1"/>
    <xf numFmtId="16" fontId="1" fillId="0" borderId="1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B"/>
      <rgbColor rgb="00C0C0C0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00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ACB08-D330-4A92-AFBA-C3B81596E0CC}">
  <sheetPr codeName="Sheet1"/>
  <dimension ref="B1:AT35"/>
  <sheetViews>
    <sheetView tabSelected="1" workbookViewId="0">
      <pane xSplit="4" ySplit="4" topLeftCell="E5" activePane="bottomRight" state="frozen"/>
      <selection activeCell="F34" sqref="F34"/>
      <selection pane="topRight" activeCell="F34" sqref="F34"/>
      <selection pane="bottomLeft" activeCell="F34" sqref="F34"/>
      <selection pane="bottomRight" activeCell="G17" sqref="G17"/>
    </sheetView>
  </sheetViews>
  <sheetFormatPr defaultColWidth="7.7109375" defaultRowHeight="15" x14ac:dyDescent="0.25"/>
  <cols>
    <col min="1" max="1" width="0.7109375" customWidth="1"/>
    <col min="2" max="2" width="9.7109375" customWidth="1"/>
    <col min="3" max="3" width="8.7109375" style="24" customWidth="1"/>
    <col min="4" max="4" width="5.85546875" customWidth="1"/>
    <col min="5" max="5" width="7.5703125" bestFit="1" customWidth="1"/>
    <col min="6" max="6" width="7.5703125" customWidth="1"/>
    <col min="7" max="7" width="8" customWidth="1"/>
    <col min="8" max="8" width="8" bestFit="1" customWidth="1"/>
    <col min="9" max="9" width="6.7109375" customWidth="1"/>
    <col min="10" max="10" width="1.7109375" customWidth="1"/>
    <col min="11" max="11" width="8.5703125" bestFit="1" customWidth="1"/>
    <col min="12" max="12" width="0.7109375" customWidth="1"/>
    <col min="13" max="17" width="8" bestFit="1" customWidth="1"/>
    <col min="18" max="18" width="0.85546875" customWidth="1"/>
    <col min="19" max="19" width="9" bestFit="1" customWidth="1"/>
    <col min="20" max="20" width="0.7109375" customWidth="1"/>
    <col min="25" max="25" width="8.5703125" bestFit="1" customWidth="1"/>
    <col min="26" max="26" width="0.7109375" customWidth="1"/>
    <col min="27" max="27" width="7.28515625" bestFit="1" customWidth="1"/>
    <col min="28" max="28" width="0.85546875" customWidth="1"/>
    <col min="29" max="29" width="9" bestFit="1" customWidth="1"/>
    <col min="34" max="34" width="0.7109375" customWidth="1"/>
    <col min="35" max="35" width="7.7109375" customWidth="1"/>
    <col min="36" max="36" width="0.7109375" customWidth="1"/>
    <col min="41" max="41" width="0.7109375" customWidth="1"/>
    <col min="42" max="42" width="7.28515625" customWidth="1"/>
    <col min="43" max="43" width="0.7109375" customWidth="1"/>
    <col min="44" max="44" width="8.7109375" customWidth="1"/>
    <col min="45" max="45" width="0.7109375" customWidth="1"/>
    <col min="46" max="46" width="9.5703125" style="24" bestFit="1" customWidth="1"/>
    <col min="47" max="47" width="0.7109375" customWidth="1"/>
  </cols>
  <sheetData>
    <row r="1" spans="2:46" ht="4.1500000000000004" customHeight="1" thickBot="1" x14ac:dyDescent="0.3"/>
    <row r="2" spans="2:46" x14ac:dyDescent="0.25">
      <c r="B2" s="34" t="s">
        <v>84</v>
      </c>
      <c r="E2" s="2"/>
      <c r="F2" s="2"/>
      <c r="G2" s="2"/>
      <c r="H2" s="2"/>
      <c r="I2" s="2"/>
      <c r="J2" s="2"/>
      <c r="K2" s="65" t="s">
        <v>66</v>
      </c>
      <c r="L2" s="2"/>
      <c r="M2" s="2"/>
      <c r="N2" s="2"/>
      <c r="O2" s="2"/>
      <c r="P2" s="2"/>
      <c r="Q2" s="2"/>
      <c r="R2" s="2"/>
      <c r="S2" s="65" t="s">
        <v>71</v>
      </c>
      <c r="T2" s="18"/>
      <c r="U2" s="2"/>
      <c r="V2" s="2"/>
      <c r="W2" s="2"/>
      <c r="X2" s="2"/>
      <c r="Y2" s="2"/>
      <c r="Z2" s="2"/>
      <c r="AA2" s="65" t="s">
        <v>72</v>
      </c>
      <c r="AB2" s="18"/>
      <c r="AC2" s="2"/>
      <c r="AD2" s="2"/>
      <c r="AE2" s="2"/>
      <c r="AF2" s="2"/>
      <c r="AG2" s="2"/>
      <c r="AH2" s="2"/>
      <c r="AI2" s="65" t="s">
        <v>73</v>
      </c>
      <c r="AJ2" s="2"/>
      <c r="AK2" s="2"/>
      <c r="AL2" s="2"/>
      <c r="AM2" s="2"/>
      <c r="AN2" s="2"/>
      <c r="AO2" s="2"/>
      <c r="AP2" s="61" t="s">
        <v>74</v>
      </c>
      <c r="AR2" s="59" t="s">
        <v>75</v>
      </c>
    </row>
    <row r="3" spans="2:46" s="24" customFormat="1" ht="15.75" thickBot="1" x14ac:dyDescent="0.3">
      <c r="B3" s="34" t="s">
        <v>85</v>
      </c>
      <c r="E3" s="25"/>
      <c r="F3" s="25"/>
      <c r="G3" s="25"/>
      <c r="H3" s="25"/>
      <c r="I3" s="25"/>
      <c r="J3" s="25"/>
      <c r="K3" s="66"/>
      <c r="L3" s="25"/>
      <c r="M3" s="25"/>
      <c r="N3" s="25"/>
      <c r="O3" s="25"/>
      <c r="P3" s="25"/>
      <c r="Q3" s="25"/>
      <c r="R3" s="25"/>
      <c r="S3" s="66"/>
      <c r="T3" s="18"/>
      <c r="U3" s="25"/>
      <c r="V3" s="25"/>
      <c r="W3" s="25"/>
      <c r="X3" s="25"/>
      <c r="Y3" s="25"/>
      <c r="Z3" s="25"/>
      <c r="AA3" s="66"/>
      <c r="AB3" s="18"/>
      <c r="AC3" s="25"/>
      <c r="AD3" s="25"/>
      <c r="AE3" s="25"/>
      <c r="AF3" s="25"/>
      <c r="AG3" s="25"/>
      <c r="AH3" s="25"/>
      <c r="AI3" s="66"/>
      <c r="AJ3" s="25"/>
      <c r="AK3" s="25"/>
      <c r="AL3" s="25"/>
      <c r="AM3" s="25"/>
      <c r="AN3" s="25"/>
      <c r="AO3" s="25"/>
      <c r="AP3" s="63"/>
      <c r="AR3" s="60"/>
    </row>
    <row r="4" spans="2:46" ht="4.1500000000000004" customHeight="1" thickBot="1" x14ac:dyDescent="0.3"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19"/>
      <c r="AL4" s="2"/>
      <c r="AM4" s="2"/>
      <c r="AN4" s="2"/>
      <c r="AO4" s="2"/>
    </row>
    <row r="5" spans="2:46" ht="14.45" customHeight="1" thickBot="1" x14ac:dyDescent="0.3">
      <c r="B5" s="61" t="s">
        <v>62</v>
      </c>
      <c r="C5" s="45" t="s">
        <v>58</v>
      </c>
      <c r="D5" s="53"/>
      <c r="E5" s="27"/>
      <c r="F5" s="55"/>
      <c r="G5" s="4"/>
      <c r="H5" s="4"/>
      <c r="I5" s="5"/>
      <c r="J5" s="11"/>
      <c r="K5" s="15">
        <f>SUM(E5:I5)</f>
        <v>0</v>
      </c>
      <c r="M5" s="13"/>
      <c r="N5" s="4"/>
      <c r="O5" s="4"/>
      <c r="P5" s="4"/>
      <c r="Q5" s="5"/>
      <c r="S5" s="1">
        <f>SUM(M5:R5)</f>
        <v>0</v>
      </c>
      <c r="U5" s="13"/>
      <c r="V5" s="4"/>
      <c r="W5" s="4"/>
      <c r="X5" s="4"/>
      <c r="Y5" s="5"/>
      <c r="AA5" s="1">
        <f>SUM(U5:Y5)</f>
        <v>0</v>
      </c>
      <c r="AC5" s="13"/>
      <c r="AD5" s="4"/>
      <c r="AE5" s="4"/>
      <c r="AF5" s="4"/>
      <c r="AG5" s="5"/>
      <c r="AI5" s="1">
        <f>SUM(AC5:AG5)</f>
        <v>0</v>
      </c>
      <c r="AK5" s="4"/>
      <c r="AL5" s="4"/>
      <c r="AM5" s="4"/>
      <c r="AN5" s="5"/>
      <c r="AP5" s="1">
        <f>SUM(AK5:AN5)</f>
        <v>0</v>
      </c>
      <c r="AR5" s="21">
        <f>SUM(K5+S5+AA5+AI5+AP5)</f>
        <v>0</v>
      </c>
    </row>
    <row r="6" spans="2:46" ht="15.75" thickBot="1" x14ac:dyDescent="0.3">
      <c r="B6" s="62"/>
      <c r="C6" s="45" t="s">
        <v>59</v>
      </c>
      <c r="D6" s="2"/>
      <c r="E6" s="28"/>
      <c r="F6" s="3"/>
      <c r="I6" s="6"/>
      <c r="K6" s="16">
        <f>SUM(E6:I6)</f>
        <v>0</v>
      </c>
      <c r="M6" s="12"/>
      <c r="Q6" s="6"/>
      <c r="S6" s="1">
        <f>SUM(M6:R6)</f>
        <v>0</v>
      </c>
      <c r="U6" s="12"/>
      <c r="Y6" s="6"/>
      <c r="AA6" s="1">
        <f>SUM(U6:Y6)</f>
        <v>0</v>
      </c>
      <c r="AC6" s="12"/>
      <c r="AG6" s="6"/>
      <c r="AI6" s="1">
        <f>SUM(AC6:AG6)</f>
        <v>0</v>
      </c>
      <c r="AN6" s="6"/>
      <c r="AP6" s="1">
        <f>SUM(AK6:AN6)</f>
        <v>0</v>
      </c>
      <c r="AR6" s="22">
        <f>SUM(K6+S6+AA6+AI6+AP6)</f>
        <v>0</v>
      </c>
    </row>
    <row r="7" spans="2:46" ht="15.75" thickBot="1" x14ac:dyDescent="0.3">
      <c r="B7" s="62"/>
      <c r="C7" s="45" t="s">
        <v>60</v>
      </c>
      <c r="D7" s="2"/>
      <c r="E7" s="28"/>
      <c r="F7" s="3"/>
      <c r="I7" s="6"/>
      <c r="K7" s="16">
        <f>SUM(E7:I7)</f>
        <v>0</v>
      </c>
      <c r="M7" s="12"/>
      <c r="Q7" s="6"/>
      <c r="S7" s="1">
        <f>SUM(M7:Q7)</f>
        <v>0</v>
      </c>
      <c r="U7" s="12"/>
      <c r="Y7" s="6"/>
      <c r="AA7" s="1">
        <f>SUM(U7:Y7)</f>
        <v>0</v>
      </c>
      <c r="AC7" s="12"/>
      <c r="AG7" s="6"/>
      <c r="AI7" s="1">
        <f>SUM(AC7:AG7)</f>
        <v>0</v>
      </c>
      <c r="AN7" s="6"/>
      <c r="AP7" s="1">
        <f>SUM(AK7:AN7)</f>
        <v>0</v>
      </c>
      <c r="AR7" s="22">
        <f>SUM(K7+S7+AA7+AI7+AP7)</f>
        <v>0</v>
      </c>
    </row>
    <row r="8" spans="2:46" ht="15.75" thickBot="1" x14ac:dyDescent="0.3">
      <c r="B8" s="63"/>
      <c r="C8" s="45" t="s">
        <v>61</v>
      </c>
      <c r="D8" s="26"/>
      <c r="E8" s="29"/>
      <c r="F8" s="56"/>
      <c r="G8" s="7"/>
      <c r="H8" s="7"/>
      <c r="I8" s="8"/>
      <c r="K8" s="15">
        <f>SUM(E8:I8)</f>
        <v>0</v>
      </c>
      <c r="M8" s="14"/>
      <c r="N8" s="7"/>
      <c r="O8" s="7"/>
      <c r="P8" s="7"/>
      <c r="Q8" s="8"/>
      <c r="S8" s="1">
        <f>SUM(M8:Q8)</f>
        <v>0</v>
      </c>
      <c r="U8" s="14"/>
      <c r="V8" s="7"/>
      <c r="W8" s="7"/>
      <c r="X8" s="7"/>
      <c r="Y8" s="8"/>
      <c r="Z8" s="7"/>
      <c r="AA8" s="1">
        <f>SUM(U8:Y8)</f>
        <v>0</v>
      </c>
      <c r="AC8" s="14"/>
      <c r="AD8" s="7"/>
      <c r="AE8" s="7"/>
      <c r="AF8" s="7"/>
      <c r="AG8" s="8"/>
      <c r="AI8" s="1">
        <f>SUM(AC8:AG8)</f>
        <v>0</v>
      </c>
      <c r="AK8" s="7"/>
      <c r="AL8" s="7"/>
      <c r="AM8" s="7"/>
      <c r="AN8" s="8"/>
      <c r="AP8" s="1">
        <f>SUM(AK8:AN8)</f>
        <v>0</v>
      </c>
      <c r="AR8" s="21">
        <f>SUM(K8)+S8+AA8+AI8+AP8</f>
        <v>0</v>
      </c>
    </row>
    <row r="9" spans="2:46" ht="4.1500000000000004" customHeight="1" thickBot="1" x14ac:dyDescent="0.3">
      <c r="C9" s="25"/>
      <c r="D9" s="2"/>
      <c r="E9" s="3"/>
      <c r="F9" s="3"/>
      <c r="K9" s="17"/>
      <c r="AK9" s="20"/>
    </row>
    <row r="10" spans="2:46" ht="15.75" thickBot="1" x14ac:dyDescent="0.3">
      <c r="B10" s="61" t="s">
        <v>63</v>
      </c>
      <c r="C10" s="45" t="s">
        <v>58</v>
      </c>
      <c r="D10" s="2"/>
      <c r="E10" s="27"/>
      <c r="F10" s="55"/>
      <c r="G10" s="4"/>
      <c r="H10" s="4"/>
      <c r="I10" s="5"/>
      <c r="K10" s="15">
        <f>SUM(E10:I10)</f>
        <v>0</v>
      </c>
      <c r="M10" s="13"/>
      <c r="N10" s="4"/>
      <c r="O10" s="4"/>
      <c r="P10" s="4"/>
      <c r="Q10" s="5"/>
      <c r="S10" s="1">
        <f>SUM(M10:Q10)</f>
        <v>0</v>
      </c>
      <c r="U10" s="13"/>
      <c r="V10" s="4"/>
      <c r="W10" s="4"/>
      <c r="X10" s="4"/>
      <c r="Y10" s="5"/>
      <c r="AA10" s="1">
        <f>SUM(U10:Y10)</f>
        <v>0</v>
      </c>
      <c r="AC10" s="13"/>
      <c r="AD10" s="4"/>
      <c r="AE10" s="4"/>
      <c r="AF10" s="4"/>
      <c r="AG10" s="5"/>
      <c r="AI10" s="1">
        <f>SUM(AC10:AG10)</f>
        <v>0</v>
      </c>
      <c r="AK10" s="4"/>
      <c r="AL10" s="4"/>
      <c r="AM10" s="4"/>
      <c r="AN10" s="5"/>
      <c r="AP10" s="1">
        <f>SUM(AK10:AN10)</f>
        <v>0</v>
      </c>
      <c r="AR10" s="21">
        <f>SUM(K10+S10+AA10+AI10+AP10)</f>
        <v>0</v>
      </c>
    </row>
    <row r="11" spans="2:46" ht="15.75" thickBot="1" x14ac:dyDescent="0.3">
      <c r="B11" s="62"/>
      <c r="C11" s="45" t="s">
        <v>59</v>
      </c>
      <c r="D11" s="2"/>
      <c r="E11" s="28"/>
      <c r="F11" s="3"/>
      <c r="I11" s="6"/>
      <c r="K11" s="16">
        <f>SUM(E11:I11)</f>
        <v>0</v>
      </c>
      <c r="M11" s="12"/>
      <c r="Q11" s="6"/>
      <c r="S11" s="1">
        <f>SUM(M11:Q11)</f>
        <v>0</v>
      </c>
      <c r="U11" s="12"/>
      <c r="Y11" s="6"/>
      <c r="AA11" s="1">
        <f>SUM(U11:Y11)</f>
        <v>0</v>
      </c>
      <c r="AC11" s="12"/>
      <c r="AG11" s="6"/>
      <c r="AI11" s="1">
        <f>SUM(AC11:AG11)</f>
        <v>0</v>
      </c>
      <c r="AN11" s="6"/>
      <c r="AP11" s="1">
        <f>SUM(AK11:AN11)</f>
        <v>0</v>
      </c>
      <c r="AR11" s="22">
        <f>SUM(K11+S11+AA11+AI11+AP11)</f>
        <v>0</v>
      </c>
    </row>
    <row r="12" spans="2:46" ht="15.75" thickBot="1" x14ac:dyDescent="0.3">
      <c r="B12" s="62"/>
      <c r="C12" s="45" t="s">
        <v>60</v>
      </c>
      <c r="D12" s="2"/>
      <c r="E12" s="28"/>
      <c r="F12" s="3"/>
      <c r="I12" s="6"/>
      <c r="K12" s="16">
        <f>SUM(E12:I12)</f>
        <v>0</v>
      </c>
      <c r="M12" s="12"/>
      <c r="Q12" s="6"/>
      <c r="S12" s="1">
        <f>SUM(M12:Q12)</f>
        <v>0</v>
      </c>
      <c r="U12" s="12"/>
      <c r="Y12" s="6"/>
      <c r="AA12" s="1">
        <f>SUM(U12:Y12)</f>
        <v>0</v>
      </c>
      <c r="AC12" s="12"/>
      <c r="AG12" s="6"/>
      <c r="AI12" s="1">
        <f>SUM(AC12:AG12)</f>
        <v>0</v>
      </c>
      <c r="AN12" s="6"/>
      <c r="AP12" s="1">
        <f>SUM(AK12:AN12)</f>
        <v>0</v>
      </c>
      <c r="AR12" s="23">
        <f>SUM(K12+S12+AA12+AI12+AP12)</f>
        <v>0</v>
      </c>
    </row>
    <row r="13" spans="2:46" ht="15.75" thickBot="1" x14ac:dyDescent="0.3">
      <c r="B13" s="64"/>
      <c r="C13" s="46" t="s">
        <v>61</v>
      </c>
      <c r="D13" s="26"/>
      <c r="E13" s="47"/>
      <c r="F13" s="57"/>
      <c r="G13" s="48"/>
      <c r="H13" s="48"/>
      <c r="I13" s="49"/>
      <c r="K13" s="50">
        <f>SUM(E13:I13)</f>
        <v>0</v>
      </c>
      <c r="L13" s="12"/>
      <c r="M13" s="51"/>
      <c r="N13" s="48"/>
      <c r="O13" s="48"/>
      <c r="P13" s="48"/>
      <c r="Q13" s="49"/>
      <c r="S13" s="52">
        <f>SUM(M13:Q13)</f>
        <v>0</v>
      </c>
      <c r="U13" s="51"/>
      <c r="V13" s="48"/>
      <c r="W13" s="48"/>
      <c r="X13" s="48"/>
      <c r="Y13" s="49"/>
      <c r="AA13" s="52">
        <f>SUM(U13:Y13)</f>
        <v>0</v>
      </c>
      <c r="AC13" s="51"/>
      <c r="AD13" s="48"/>
      <c r="AE13" s="48"/>
      <c r="AF13" s="48"/>
      <c r="AG13" s="49"/>
      <c r="AI13" s="52">
        <f>SUM(AC13:AG13)</f>
        <v>0</v>
      </c>
      <c r="AK13" s="48"/>
      <c r="AL13" s="48"/>
      <c r="AM13" s="48"/>
      <c r="AN13" s="49"/>
      <c r="AP13" s="52">
        <f>SUM(AK13:AN13)</f>
        <v>0</v>
      </c>
      <c r="AR13" s="21">
        <f>SUM(K13+S13+AA13+AI13+AP13)</f>
        <v>0</v>
      </c>
    </row>
    <row r="14" spans="2:46" ht="4.1500000000000004" customHeight="1" thickBot="1" x14ac:dyDescent="0.3">
      <c r="C14" s="25"/>
      <c r="D14" s="2"/>
      <c r="E14" s="2"/>
      <c r="F14" s="2"/>
    </row>
    <row r="15" spans="2:46" ht="15.75" thickBot="1" x14ac:dyDescent="0.3">
      <c r="B15" s="67" t="s">
        <v>89</v>
      </c>
      <c r="C15" s="45" t="s">
        <v>58</v>
      </c>
      <c r="D15" s="2"/>
      <c r="E15" s="2"/>
      <c r="F15" s="2"/>
      <c r="K15" s="9">
        <f>SUM(K10)+K5</f>
        <v>0</v>
      </c>
      <c r="S15" s="1">
        <f>SUM(S10)+S5</f>
        <v>0</v>
      </c>
      <c r="AA15" s="1">
        <f>SUM(AA10+AA5)</f>
        <v>0</v>
      </c>
      <c r="AI15" s="1">
        <f>SUM(AI10+AI5)</f>
        <v>0</v>
      </c>
      <c r="AP15" s="1">
        <f>SUM(AP10+AP5)</f>
        <v>0</v>
      </c>
      <c r="AR15" s="21">
        <f>SUM(K15+S15+AA15+AI15+AP15)</f>
        <v>0</v>
      </c>
      <c r="AT15" s="45" t="s">
        <v>58</v>
      </c>
    </row>
    <row r="16" spans="2:46" ht="15.75" thickBot="1" x14ac:dyDescent="0.3">
      <c r="B16" s="58"/>
      <c r="C16" s="45" t="s">
        <v>59</v>
      </c>
      <c r="D16" s="2"/>
      <c r="E16" s="2"/>
      <c r="F16" s="2"/>
      <c r="K16" s="10">
        <f>SUM(K11+K6)</f>
        <v>0</v>
      </c>
      <c r="S16" s="1">
        <f>SUM(S11+S6)</f>
        <v>0</v>
      </c>
      <c r="AA16" s="1">
        <f>SUM(AA11+AA6)</f>
        <v>0</v>
      </c>
      <c r="AI16" s="1">
        <f>SUM(AI11+AI6)</f>
        <v>0</v>
      </c>
      <c r="AP16" s="1">
        <f>SUM(AP11+AP6)</f>
        <v>0</v>
      </c>
      <c r="AR16" s="22">
        <f>SUM(K16+S16+AA16+AI16+AP16)</f>
        <v>0</v>
      </c>
      <c r="AT16" s="45" t="s">
        <v>59</v>
      </c>
    </row>
    <row r="17" spans="2:46" ht="15.75" thickBot="1" x14ac:dyDescent="0.3">
      <c r="B17" s="58"/>
      <c r="C17" s="45" t="s">
        <v>60</v>
      </c>
      <c r="D17" s="2"/>
      <c r="E17" s="2"/>
      <c r="F17" s="2"/>
      <c r="K17" s="10">
        <f>SUM(K7+K12)</f>
        <v>0</v>
      </c>
      <c r="S17" s="1">
        <f>SUM(S12+S7)</f>
        <v>0</v>
      </c>
      <c r="AA17" s="1">
        <f>SUM(AA12+AA7)</f>
        <v>0</v>
      </c>
      <c r="AI17" s="1">
        <f>SUM(AI12+AI7)</f>
        <v>0</v>
      </c>
      <c r="AP17" s="1">
        <f>SUM(AP12+AP7)</f>
        <v>0</v>
      </c>
      <c r="AR17" s="22">
        <f>SUM(K17+S17+AA17+AI17+AP17)</f>
        <v>0</v>
      </c>
      <c r="AT17" s="45" t="s">
        <v>60</v>
      </c>
    </row>
    <row r="18" spans="2:46" ht="15.75" thickBot="1" x14ac:dyDescent="0.3">
      <c r="B18" s="58"/>
      <c r="C18" s="45" t="s">
        <v>61</v>
      </c>
      <c r="D18" s="2"/>
      <c r="E18" s="2"/>
      <c r="F18" s="2"/>
      <c r="K18" s="9">
        <f>SUM(K13+K8)</f>
        <v>0</v>
      </c>
      <c r="S18" s="1">
        <f>SUM(S13+S8)</f>
        <v>0</v>
      </c>
      <c r="AA18" s="1">
        <f>SUM(AA13+AA8)</f>
        <v>0</v>
      </c>
      <c r="AI18" s="1">
        <f>SUM(AI13+AI8)</f>
        <v>0</v>
      </c>
      <c r="AP18" s="1">
        <f>SUM(AP13+AP8)</f>
        <v>0</v>
      </c>
      <c r="AR18" s="21">
        <f>SUM(K18+S18+AA18+AI18+AP18)</f>
        <v>0</v>
      </c>
      <c r="AT18" s="45" t="s">
        <v>61</v>
      </c>
    </row>
    <row r="19" spans="2:46" ht="4.1500000000000004" customHeight="1" x14ac:dyDescent="0.25">
      <c r="C19" s="25"/>
      <c r="D19" s="2"/>
      <c r="E19" s="2"/>
      <c r="F19" s="2"/>
    </row>
    <row r="20" spans="2:46" x14ac:dyDescent="0.25">
      <c r="C20" s="25"/>
      <c r="D20" s="2"/>
      <c r="E20" s="2"/>
      <c r="F20" s="2"/>
    </row>
    <row r="21" spans="2:46" s="24" customFormat="1" ht="4.9000000000000004" customHeight="1" thickBot="1" x14ac:dyDescent="0.3">
      <c r="E21" s="25"/>
      <c r="F21" s="25"/>
      <c r="G21" s="25"/>
      <c r="H21" s="25"/>
      <c r="I21" s="25"/>
      <c r="J21" s="25"/>
      <c r="K21" s="18"/>
      <c r="L21" s="25"/>
      <c r="M21" s="25"/>
      <c r="N21" s="25"/>
      <c r="O21" s="25"/>
      <c r="P21" s="25"/>
      <c r="Q21" s="25"/>
      <c r="R21" s="25"/>
      <c r="S21" s="18"/>
      <c r="T21" s="18"/>
      <c r="U21" s="25"/>
      <c r="V21" s="25"/>
      <c r="W21" s="25"/>
      <c r="X21" s="25"/>
      <c r="Y21" s="25"/>
      <c r="Z21" s="25"/>
      <c r="AA21" s="18"/>
      <c r="AB21" s="18"/>
      <c r="AC21" s="25"/>
      <c r="AD21" s="25"/>
      <c r="AE21" s="25"/>
      <c r="AF21" s="25"/>
      <c r="AG21" s="25"/>
      <c r="AH21" s="25"/>
      <c r="AI21" s="18"/>
      <c r="AJ21" s="25"/>
      <c r="AK21" s="25"/>
      <c r="AL21" s="25"/>
      <c r="AM21" s="25"/>
      <c r="AN21" s="25"/>
      <c r="AO21" s="25"/>
      <c r="AP21" s="31"/>
      <c r="AR21" s="31"/>
    </row>
    <row r="22" spans="2:46" s="24" customFormat="1" ht="15.75" thickBot="1" x14ac:dyDescent="0.3">
      <c r="B22" s="58" t="s">
        <v>90</v>
      </c>
      <c r="C22" s="32" t="s">
        <v>82</v>
      </c>
      <c r="K22" s="30">
        <f>SUM(E22:J22)</f>
        <v>0</v>
      </c>
      <c r="S22" s="30">
        <f>SUM(M22:R22)</f>
        <v>0</v>
      </c>
      <c r="T22" s="31"/>
      <c r="AA22" s="30">
        <f>SUM(U22:Y22)</f>
        <v>0</v>
      </c>
      <c r="AB22" s="31"/>
      <c r="AI22" s="30">
        <f>SUM(AC22:AG22)</f>
        <v>0</v>
      </c>
      <c r="AP22" s="30">
        <f>SUM(AK22:AN22)</f>
        <v>0</v>
      </c>
      <c r="AR22" s="33">
        <f>SUM(AP22+AI22+AA22+S22+K22)</f>
        <v>0</v>
      </c>
      <c r="AT22" s="32" t="s">
        <v>82</v>
      </c>
    </row>
    <row r="23" spans="2:46" s="24" customFormat="1" ht="15.75" thickBot="1" x14ac:dyDescent="0.3">
      <c r="B23" s="58"/>
      <c r="C23" s="32" t="s">
        <v>83</v>
      </c>
      <c r="K23" s="30">
        <f>SUM(E23:I23)</f>
        <v>0</v>
      </c>
      <c r="S23" s="30">
        <f>SUM(M23:R23)</f>
        <v>0</v>
      </c>
      <c r="T23" s="31"/>
      <c r="AA23" s="30">
        <f>SUM(U23:Y23)</f>
        <v>0</v>
      </c>
      <c r="AB23" s="31"/>
      <c r="AI23" s="30">
        <f>SUM(AC23:AG23)</f>
        <v>0</v>
      </c>
      <c r="AP23" s="30">
        <f>SUM(AK23:AN23)</f>
        <v>0</v>
      </c>
      <c r="AR23" s="33">
        <f>SUM(AP23+AI23+AA23+S23+K23)</f>
        <v>0</v>
      </c>
      <c r="AT23" s="32" t="s">
        <v>83</v>
      </c>
    </row>
    <row r="24" spans="2:46" s="24" customFormat="1" ht="15.75" thickBot="1" x14ac:dyDescent="0.3">
      <c r="B24" s="58"/>
      <c r="C24" s="32" t="s">
        <v>59</v>
      </c>
      <c r="K24" s="30">
        <f>SUM(E24:I24)</f>
        <v>0</v>
      </c>
      <c r="S24" s="30">
        <f>SUM(M24:Q24)</f>
        <v>0</v>
      </c>
      <c r="T24" s="31"/>
      <c r="AA24" s="30">
        <f>SUM(U24:Y24)</f>
        <v>0</v>
      </c>
      <c r="AB24" s="31"/>
      <c r="AI24" s="30">
        <f>SUM(AC24:AG24)</f>
        <v>0</v>
      </c>
      <c r="AP24" s="30">
        <f>SUM(AK24:AN24)</f>
        <v>0</v>
      </c>
      <c r="AR24" s="33">
        <f>SUM(AP24+AI24+AA24+S24+K24)</f>
        <v>0</v>
      </c>
      <c r="AT24" s="32" t="s">
        <v>59</v>
      </c>
    </row>
    <row r="25" spans="2:46" s="24" customFormat="1" ht="15.75" thickBot="1" x14ac:dyDescent="0.3">
      <c r="B25" s="58"/>
      <c r="C25" s="32" t="s">
        <v>60</v>
      </c>
      <c r="K25" s="30">
        <f>SUM(E25:I25)</f>
        <v>0</v>
      </c>
      <c r="S25" s="30">
        <f>SUM(M25:Q25)</f>
        <v>0</v>
      </c>
      <c r="T25" s="31"/>
      <c r="AA25" s="30">
        <f>SUM(U25:Y25)</f>
        <v>0</v>
      </c>
      <c r="AB25" s="31"/>
      <c r="AI25" s="30">
        <f>SUM(AC25:AG25)</f>
        <v>0</v>
      </c>
      <c r="AP25" s="30">
        <f>SUM(AK25:AN25)</f>
        <v>0</v>
      </c>
      <c r="AR25" s="33">
        <f>SUM(AP25+AI25+AA25++S25+K25)</f>
        <v>0</v>
      </c>
      <c r="AT25" s="32" t="s">
        <v>60</v>
      </c>
    </row>
    <row r="26" spans="2:46" s="24" customFormat="1" ht="15.75" thickBot="1" x14ac:dyDescent="0.3">
      <c r="B26" s="58"/>
      <c r="C26" s="32" t="s">
        <v>61</v>
      </c>
      <c r="K26" s="30">
        <f>SUM(E26:I26)</f>
        <v>0</v>
      </c>
      <c r="S26" s="30">
        <f>SUM(M26:Q26)</f>
        <v>0</v>
      </c>
      <c r="T26" s="31"/>
      <c r="AA26" s="30">
        <f>SUM(U26:Y26)</f>
        <v>0</v>
      </c>
      <c r="AB26" s="31"/>
      <c r="AI26" s="30">
        <f>SUM(AC26:AG26)</f>
        <v>0</v>
      </c>
      <c r="AP26" s="30">
        <f>SUM(AK26:AN26)</f>
        <v>0</v>
      </c>
      <c r="AR26" s="33">
        <f>SUM(AP26+AI26+AA26+S26)</f>
        <v>0</v>
      </c>
      <c r="AT26" s="32" t="s">
        <v>61</v>
      </c>
    </row>
    <row r="27" spans="2:46" ht="4.9000000000000004" customHeight="1" x14ac:dyDescent="0.25">
      <c r="C27" s="25"/>
      <c r="D27" s="2"/>
      <c r="E27" s="2"/>
      <c r="F27" s="2"/>
    </row>
    <row r="28" spans="2:46" x14ac:dyDescent="0.25">
      <c r="C28" s="25"/>
      <c r="D28" s="2"/>
      <c r="E28" s="2"/>
      <c r="F28" s="2"/>
    </row>
    <row r="29" spans="2:46" x14ac:dyDescent="0.25">
      <c r="C29" s="1" t="s">
        <v>289</v>
      </c>
      <c r="D29" s="2"/>
      <c r="E29" s="76"/>
      <c r="F29" s="77"/>
      <c r="G29" s="4"/>
      <c r="H29" s="4"/>
      <c r="I29" s="5"/>
      <c r="K29" s="74"/>
      <c r="M29" s="13"/>
      <c r="N29" s="4"/>
      <c r="O29" s="4"/>
      <c r="P29" s="4"/>
      <c r="Q29" s="5"/>
      <c r="S29" s="74"/>
      <c r="U29" s="13"/>
      <c r="V29" s="4"/>
      <c r="W29" s="4"/>
      <c r="X29" s="4"/>
      <c r="Y29" s="5"/>
      <c r="AA29" s="74"/>
      <c r="AC29" s="13"/>
      <c r="AD29" s="4"/>
      <c r="AE29" s="4"/>
      <c r="AF29" s="4"/>
      <c r="AG29" s="5"/>
      <c r="AI29" s="74"/>
      <c r="AK29" s="13"/>
      <c r="AL29" s="4"/>
      <c r="AM29" s="4"/>
      <c r="AN29" s="5"/>
      <c r="AP29" s="74"/>
    </row>
    <row r="30" spans="2:46" x14ac:dyDescent="0.25">
      <c r="C30" s="1" t="s">
        <v>291</v>
      </c>
      <c r="D30" s="2"/>
      <c r="E30" s="26"/>
      <c r="F30" s="72"/>
      <c r="G30" s="73"/>
      <c r="H30" s="73"/>
      <c r="I30" s="6"/>
      <c r="K30" s="11"/>
      <c r="M30" s="12"/>
      <c r="N30" s="73"/>
      <c r="O30" s="73"/>
      <c r="P30" s="73"/>
      <c r="Q30" s="6"/>
      <c r="S30" s="11"/>
      <c r="U30" s="12"/>
      <c r="V30" s="73"/>
      <c r="W30" s="73"/>
      <c r="X30" s="73"/>
      <c r="Y30" s="6"/>
      <c r="AA30" s="11"/>
      <c r="AC30" s="12"/>
      <c r="AD30" s="73"/>
      <c r="AE30" s="73"/>
      <c r="AF30" s="73"/>
      <c r="AG30" s="6"/>
      <c r="AI30" s="11"/>
      <c r="AK30" s="12"/>
      <c r="AL30" s="73"/>
      <c r="AM30" s="73"/>
      <c r="AN30" s="6"/>
      <c r="AP30" s="11"/>
    </row>
    <row r="31" spans="2:46" x14ac:dyDescent="0.25">
      <c r="C31" s="1" t="s">
        <v>290</v>
      </c>
      <c r="D31" s="2"/>
      <c r="E31" s="78"/>
      <c r="F31" s="19"/>
      <c r="G31" s="7"/>
      <c r="H31" s="7"/>
      <c r="I31" s="8"/>
      <c r="K31" s="75"/>
      <c r="M31" s="14"/>
      <c r="N31" s="7"/>
      <c r="O31" s="7"/>
      <c r="P31" s="7"/>
      <c r="Q31" s="8"/>
      <c r="S31" s="75"/>
      <c r="U31" s="14"/>
      <c r="V31" s="7"/>
      <c r="W31" s="7"/>
      <c r="X31" s="7"/>
      <c r="Y31" s="8"/>
      <c r="AA31" s="75"/>
      <c r="AC31" s="14"/>
      <c r="AD31" s="7"/>
      <c r="AE31" s="7"/>
      <c r="AF31" s="7"/>
      <c r="AG31" s="8"/>
      <c r="AI31" s="75"/>
      <c r="AK31" s="14"/>
      <c r="AL31" s="7"/>
      <c r="AM31" s="7"/>
      <c r="AN31" s="8"/>
      <c r="AP31" s="75"/>
    </row>
    <row r="32" spans="2:46" x14ac:dyDescent="0.25">
      <c r="C32" s="25"/>
      <c r="D32" s="2"/>
      <c r="E32" s="2"/>
      <c r="F32" s="2"/>
    </row>
    <row r="33" spans="3:6" x14ac:dyDescent="0.25">
      <c r="C33" s="25"/>
      <c r="D33" s="2"/>
      <c r="E33" s="2"/>
      <c r="F33" s="2"/>
    </row>
    <row r="34" spans="3:6" x14ac:dyDescent="0.25">
      <c r="C34" s="25"/>
      <c r="D34" s="2"/>
      <c r="E34" s="2"/>
      <c r="F34" s="2"/>
    </row>
    <row r="35" spans="3:6" x14ac:dyDescent="0.25">
      <c r="C35" s="25"/>
      <c r="D35" s="2"/>
      <c r="E35" s="2"/>
      <c r="F35" s="2"/>
    </row>
  </sheetData>
  <mergeCells count="10">
    <mergeCell ref="B22:B26"/>
    <mergeCell ref="AR2:AR3"/>
    <mergeCell ref="B5:B8"/>
    <mergeCell ref="B10:B13"/>
    <mergeCell ref="K2:K3"/>
    <mergeCell ref="B15:B18"/>
    <mergeCell ref="S2:S3"/>
    <mergeCell ref="AA2:AA3"/>
    <mergeCell ref="AI2:AI3"/>
    <mergeCell ref="AP2:AP3"/>
  </mergeCells>
  <phoneticPr fontId="4" type="noConversion"/>
  <pageMargins left="0.7" right="0.7" top="0.75" bottom="0.75" header="0.3" footer="0.3"/>
  <pageSetup orientation="portrait" r:id="rId1"/>
  <ignoredErrors>
    <ignoredError sqref="K1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29465-1267-4674-BE3E-C5036195A497}">
  <sheetPr codeName="Sheet22"/>
  <dimension ref="A1:W20"/>
  <sheetViews>
    <sheetView workbookViewId="0">
      <selection activeCell="F34" sqref="F34"/>
    </sheetView>
  </sheetViews>
  <sheetFormatPr defaultColWidth="8.85546875" defaultRowHeight="15" x14ac:dyDescent="0.25"/>
  <cols>
    <col min="1" max="1" width="11.5703125" style="17" customWidth="1"/>
    <col min="2" max="2" width="8.5703125" style="17" bestFit="1" customWidth="1"/>
    <col min="3" max="3" width="9.85546875" style="17" bestFit="1" customWidth="1"/>
    <col min="4" max="4" width="8.28515625" style="17" bestFit="1" customWidth="1"/>
    <col min="5" max="5" width="8.28515625" style="17" customWidth="1"/>
    <col min="6" max="6" width="6.28515625" style="17" customWidth="1"/>
    <col min="7" max="7" width="8.28515625" style="17" customWidth="1"/>
    <col min="8" max="8" width="8.140625" style="17" customWidth="1"/>
    <col min="9" max="9" width="15" style="17" customWidth="1"/>
    <col min="10" max="10" width="11.85546875" style="17" bestFit="1" customWidth="1"/>
    <col min="11" max="11" width="8" style="17" customWidth="1"/>
    <col min="12" max="12" width="8.28515625" style="17" customWidth="1"/>
    <col min="13" max="13" width="31.28515625" style="17" hidden="1" customWidth="1"/>
    <col min="14" max="14" width="6.42578125" style="17" bestFit="1" customWidth="1"/>
    <col min="15" max="15" width="9" style="17" bestFit="1" customWidth="1"/>
    <col min="16" max="16" width="6.5703125" style="17" bestFit="1" customWidth="1"/>
    <col min="17" max="17" width="3.7109375" style="17" customWidth="1"/>
    <col min="18" max="18" width="5.85546875" style="17" customWidth="1"/>
    <col min="19" max="19" width="4" style="17" bestFit="1" customWidth="1"/>
    <col min="20" max="20" width="7.140625" style="17" customWidth="1"/>
    <col min="21" max="21" width="9.28515625" style="17" customWidth="1"/>
    <col min="22" max="22" width="15.85546875" style="17" customWidth="1"/>
    <col min="23" max="23" width="0.28515625" style="17" customWidth="1"/>
    <col min="24" max="16384" width="8.85546875" style="17"/>
  </cols>
  <sheetData>
    <row r="1" spans="1:23" ht="24" customHeight="1" x14ac:dyDescent="0.25">
      <c r="A1" s="68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</row>
    <row r="2" spans="1:23" ht="12" customHeight="1" x14ac:dyDescent="0.25">
      <c r="A2" s="70" t="s">
        <v>173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</row>
    <row r="3" spans="1:23" ht="12" customHeight="1" x14ac:dyDescent="0.25">
      <c r="A3" s="71" t="s">
        <v>1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</row>
    <row r="4" spans="1:23" ht="12" customHeight="1" x14ac:dyDescent="0.25">
      <c r="A4" s="71" t="s">
        <v>70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</row>
    <row r="5" spans="1:23" ht="12" customHeight="1" x14ac:dyDescent="0.25">
      <c r="A5" s="71" t="s">
        <v>2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</row>
    <row r="6" spans="1:23" ht="25.15" customHeight="1" x14ac:dyDescent="0.25">
      <c r="A6" s="35" t="s">
        <v>3</v>
      </c>
      <c r="B6" s="36" t="s">
        <v>4</v>
      </c>
      <c r="C6" s="36" t="s">
        <v>5</v>
      </c>
      <c r="D6" s="36" t="s">
        <v>6</v>
      </c>
      <c r="E6" s="36" t="s">
        <v>7</v>
      </c>
      <c r="F6" s="36" t="s">
        <v>8</v>
      </c>
      <c r="G6" s="36" t="s">
        <v>9</v>
      </c>
      <c r="H6" s="36" t="s">
        <v>10</v>
      </c>
      <c r="I6" s="36" t="s">
        <v>11</v>
      </c>
      <c r="J6" s="36" t="s">
        <v>12</v>
      </c>
      <c r="K6" s="36" t="s">
        <v>13</v>
      </c>
      <c r="L6" s="36" t="s">
        <v>14</v>
      </c>
      <c r="M6" s="36" t="s">
        <v>15</v>
      </c>
      <c r="N6" s="37" t="s">
        <v>16</v>
      </c>
      <c r="O6" s="37" t="s">
        <v>17</v>
      </c>
      <c r="P6" s="37" t="s">
        <v>18</v>
      </c>
      <c r="Q6" s="37" t="s">
        <v>19</v>
      </c>
      <c r="R6" s="36" t="s">
        <v>20</v>
      </c>
      <c r="S6" s="37" t="s">
        <v>21</v>
      </c>
      <c r="T6" s="36" t="s">
        <v>22</v>
      </c>
      <c r="U6" s="36" t="s">
        <v>23</v>
      </c>
      <c r="V6" s="36" t="s">
        <v>24</v>
      </c>
    </row>
    <row r="7" spans="1:23" ht="25.15" customHeight="1" x14ac:dyDescent="0.25">
      <c r="A7" s="38" t="s">
        <v>172</v>
      </c>
      <c r="B7" s="39" t="s">
        <v>135</v>
      </c>
      <c r="C7" s="39" t="s">
        <v>25</v>
      </c>
      <c r="D7" s="39" t="s">
        <v>94</v>
      </c>
      <c r="E7" s="39" t="s">
        <v>26</v>
      </c>
      <c r="F7" s="39" t="s">
        <v>26</v>
      </c>
      <c r="G7" s="39" t="s">
        <v>92</v>
      </c>
      <c r="H7" s="39" t="s">
        <v>171</v>
      </c>
      <c r="I7" s="39" t="s">
        <v>47</v>
      </c>
      <c r="J7" s="39" t="s">
        <v>27</v>
      </c>
      <c r="K7" s="39" t="s">
        <v>93</v>
      </c>
      <c r="L7" s="39" t="s">
        <v>132</v>
      </c>
      <c r="M7" s="39" t="s">
        <v>170</v>
      </c>
      <c r="N7" s="40" t="s">
        <v>28</v>
      </c>
      <c r="O7" s="40">
        <v>1257.22</v>
      </c>
      <c r="P7" s="40">
        <v>7.3280000000000003</v>
      </c>
      <c r="Q7" s="40">
        <v>3</v>
      </c>
      <c r="R7" s="39" t="s">
        <v>29</v>
      </c>
      <c r="S7" s="40">
        <v>6</v>
      </c>
      <c r="T7" s="39" t="s">
        <v>31</v>
      </c>
      <c r="U7" s="39" t="s">
        <v>169</v>
      </c>
      <c r="V7" s="39" t="s">
        <v>168</v>
      </c>
    </row>
    <row r="8" spans="1:23" ht="25.15" customHeight="1" x14ac:dyDescent="0.25">
      <c r="A8" s="38" t="s">
        <v>167</v>
      </c>
      <c r="B8" s="39" t="s">
        <v>154</v>
      </c>
      <c r="C8" s="39" t="s">
        <v>25</v>
      </c>
      <c r="D8" s="39" t="s">
        <v>166</v>
      </c>
      <c r="E8" s="39" t="s">
        <v>26</v>
      </c>
      <c r="F8" s="39" t="s">
        <v>26</v>
      </c>
      <c r="G8" s="39" t="s">
        <v>92</v>
      </c>
      <c r="H8" s="39" t="s">
        <v>165</v>
      </c>
      <c r="I8" s="39" t="s">
        <v>36</v>
      </c>
      <c r="J8" s="39" t="s">
        <v>27</v>
      </c>
      <c r="K8" s="39" t="s">
        <v>93</v>
      </c>
      <c r="L8" s="39" t="s">
        <v>151</v>
      </c>
      <c r="M8" s="39" t="s">
        <v>164</v>
      </c>
      <c r="N8" s="40" t="s">
        <v>28</v>
      </c>
      <c r="O8" s="40">
        <v>12649.78</v>
      </c>
      <c r="P8" s="40">
        <v>74.682000000000002</v>
      </c>
      <c r="Q8" s="40">
        <v>27</v>
      </c>
      <c r="R8" s="39" t="s">
        <v>29</v>
      </c>
      <c r="S8" s="40">
        <v>54</v>
      </c>
      <c r="T8" s="39" t="s">
        <v>31</v>
      </c>
      <c r="U8" s="39" t="s">
        <v>163</v>
      </c>
      <c r="V8" s="39" t="s">
        <v>162</v>
      </c>
    </row>
    <row r="9" spans="1:23" ht="25.15" customHeight="1" x14ac:dyDescent="0.25">
      <c r="A9" s="38" t="s">
        <v>161</v>
      </c>
      <c r="B9" s="39" t="s">
        <v>160</v>
      </c>
      <c r="C9" s="39" t="s">
        <v>41</v>
      </c>
      <c r="D9" s="39" t="s">
        <v>159</v>
      </c>
      <c r="E9" s="39" t="s">
        <v>26</v>
      </c>
      <c r="F9" s="39" t="s">
        <v>26</v>
      </c>
      <c r="G9" s="39" t="s">
        <v>92</v>
      </c>
      <c r="H9" s="39" t="s">
        <v>158</v>
      </c>
      <c r="I9" s="39" t="s">
        <v>37</v>
      </c>
      <c r="J9" s="39" t="s">
        <v>27</v>
      </c>
      <c r="K9" s="39" t="s">
        <v>93</v>
      </c>
      <c r="L9" s="39" t="s">
        <v>30</v>
      </c>
      <c r="M9" s="39" t="s">
        <v>157</v>
      </c>
      <c r="N9" s="40" t="s">
        <v>28</v>
      </c>
      <c r="O9" s="40">
        <v>4579.8</v>
      </c>
      <c r="P9" s="40">
        <v>41.677999999999997</v>
      </c>
      <c r="Q9" s="40">
        <v>14</v>
      </c>
      <c r="R9" s="39" t="s">
        <v>29</v>
      </c>
      <c r="S9" s="40">
        <v>28</v>
      </c>
      <c r="T9" s="39" t="s">
        <v>31</v>
      </c>
      <c r="U9" s="39" t="s">
        <v>51</v>
      </c>
      <c r="V9" s="39" t="s">
        <v>156</v>
      </c>
    </row>
    <row r="10" spans="1:23" ht="25.15" customHeight="1" x14ac:dyDescent="0.25">
      <c r="A10" s="38" t="s">
        <v>155</v>
      </c>
      <c r="B10" s="39" t="s">
        <v>154</v>
      </c>
      <c r="C10" s="39" t="s">
        <v>25</v>
      </c>
      <c r="D10" s="39" t="s">
        <v>153</v>
      </c>
      <c r="E10" s="39" t="s">
        <v>26</v>
      </c>
      <c r="F10" s="39" t="s">
        <v>26</v>
      </c>
      <c r="G10" s="39" t="s">
        <v>92</v>
      </c>
      <c r="H10" s="39" t="s">
        <v>152</v>
      </c>
      <c r="I10" s="39" t="s">
        <v>36</v>
      </c>
      <c r="J10" s="39" t="s">
        <v>27</v>
      </c>
      <c r="K10" s="39" t="s">
        <v>93</v>
      </c>
      <c r="L10" s="39" t="s">
        <v>151</v>
      </c>
      <c r="M10" s="39" t="s">
        <v>150</v>
      </c>
      <c r="N10" s="40" t="s">
        <v>28</v>
      </c>
      <c r="O10" s="40">
        <v>74.5</v>
      </c>
      <c r="P10" s="40">
        <v>0.54200000000000004</v>
      </c>
      <c r="Q10" s="40">
        <v>1</v>
      </c>
      <c r="R10" s="39" t="s">
        <v>29</v>
      </c>
      <c r="S10" s="40">
        <v>1</v>
      </c>
      <c r="T10" s="39" t="s">
        <v>31</v>
      </c>
      <c r="U10" s="39" t="s">
        <v>86</v>
      </c>
      <c r="V10" s="39" t="s">
        <v>149</v>
      </c>
    </row>
    <row r="11" spans="1:23" ht="25.15" customHeight="1" x14ac:dyDescent="0.25">
      <c r="A11" s="38" t="s">
        <v>148</v>
      </c>
      <c r="B11" s="39" t="s">
        <v>143</v>
      </c>
      <c r="C11" s="39" t="s">
        <v>25</v>
      </c>
      <c r="D11" s="39" t="s">
        <v>142</v>
      </c>
      <c r="E11" s="39" t="s">
        <v>26</v>
      </c>
      <c r="F11" s="39" t="s">
        <v>26</v>
      </c>
      <c r="G11" s="39" t="s">
        <v>92</v>
      </c>
      <c r="H11" s="39" t="s">
        <v>147</v>
      </c>
      <c r="I11" s="39" t="s">
        <v>40</v>
      </c>
      <c r="J11" s="39" t="s">
        <v>27</v>
      </c>
      <c r="K11" s="39" t="s">
        <v>93</v>
      </c>
      <c r="L11" s="39" t="s">
        <v>140</v>
      </c>
      <c r="M11" s="39" t="s">
        <v>146</v>
      </c>
      <c r="N11" s="40" t="s">
        <v>28</v>
      </c>
      <c r="O11" s="40">
        <v>524.72</v>
      </c>
      <c r="P11" s="40">
        <v>4.9349999999999996</v>
      </c>
      <c r="Q11" s="40">
        <v>7</v>
      </c>
      <c r="R11" s="39" t="s">
        <v>29</v>
      </c>
      <c r="S11" s="40">
        <v>14</v>
      </c>
      <c r="T11" s="39" t="s">
        <v>31</v>
      </c>
      <c r="U11" s="39" t="s">
        <v>76</v>
      </c>
      <c r="V11" s="39" t="s">
        <v>145</v>
      </c>
    </row>
    <row r="12" spans="1:23" ht="25.15" customHeight="1" x14ac:dyDescent="0.25">
      <c r="A12" s="38" t="s">
        <v>144</v>
      </c>
      <c r="B12" s="39" t="s">
        <v>143</v>
      </c>
      <c r="C12" s="39" t="s">
        <v>25</v>
      </c>
      <c r="D12" s="39" t="s">
        <v>142</v>
      </c>
      <c r="E12" s="39" t="s">
        <v>26</v>
      </c>
      <c r="F12" s="39" t="s">
        <v>26</v>
      </c>
      <c r="G12" s="39" t="s">
        <v>92</v>
      </c>
      <c r="H12" s="39" t="s">
        <v>141</v>
      </c>
      <c r="I12" s="39" t="s">
        <v>40</v>
      </c>
      <c r="J12" s="39" t="s">
        <v>27</v>
      </c>
      <c r="K12" s="39" t="s">
        <v>93</v>
      </c>
      <c r="L12" s="39" t="s">
        <v>140</v>
      </c>
      <c r="M12" s="39" t="s">
        <v>139</v>
      </c>
      <c r="N12" s="40" t="s">
        <v>28</v>
      </c>
      <c r="O12" s="40">
        <v>4810.49</v>
      </c>
      <c r="P12" s="40">
        <v>39.475000000000001</v>
      </c>
      <c r="Q12" s="40">
        <v>13</v>
      </c>
      <c r="R12" s="39" t="s">
        <v>29</v>
      </c>
      <c r="S12" s="40">
        <v>26</v>
      </c>
      <c r="T12" s="39" t="s">
        <v>31</v>
      </c>
      <c r="U12" s="39" t="s">
        <v>138</v>
      </c>
      <c r="V12" s="39" t="s">
        <v>137</v>
      </c>
    </row>
    <row r="13" spans="1:23" ht="25.15" customHeight="1" x14ac:dyDescent="0.25">
      <c r="A13" s="38" t="s">
        <v>136</v>
      </c>
      <c r="B13" s="39" t="s">
        <v>135</v>
      </c>
      <c r="C13" s="39" t="s">
        <v>25</v>
      </c>
      <c r="D13" s="39" t="s">
        <v>134</v>
      </c>
      <c r="E13" s="39" t="s">
        <v>26</v>
      </c>
      <c r="F13" s="39" t="s">
        <v>26</v>
      </c>
      <c r="G13" s="39" t="s">
        <v>93</v>
      </c>
      <c r="H13" s="39" t="s">
        <v>133</v>
      </c>
      <c r="I13" s="39" t="s">
        <v>47</v>
      </c>
      <c r="J13" s="39" t="s">
        <v>27</v>
      </c>
      <c r="K13" s="39" t="s">
        <v>99</v>
      </c>
      <c r="L13" s="39" t="s">
        <v>132</v>
      </c>
      <c r="M13" s="39" t="s">
        <v>131</v>
      </c>
      <c r="N13" s="40" t="s">
        <v>28</v>
      </c>
      <c r="O13" s="40">
        <v>1293.1199999999999</v>
      </c>
      <c r="P13" s="40">
        <v>7.125</v>
      </c>
      <c r="Q13" s="40">
        <v>3</v>
      </c>
      <c r="R13" s="39" t="s">
        <v>29</v>
      </c>
      <c r="S13" s="40">
        <v>6</v>
      </c>
      <c r="T13" s="39" t="s">
        <v>31</v>
      </c>
      <c r="U13" s="39" t="s">
        <v>48</v>
      </c>
      <c r="V13" s="39" t="s">
        <v>130</v>
      </c>
    </row>
    <row r="14" spans="1:23" ht="25.15" customHeight="1" x14ac:dyDescent="0.25">
      <c r="A14" s="38" t="s">
        <v>129</v>
      </c>
      <c r="B14" s="39" t="s">
        <v>102</v>
      </c>
      <c r="C14" s="39" t="s">
        <v>25</v>
      </c>
      <c r="D14" s="39" t="s">
        <v>128</v>
      </c>
      <c r="E14" s="39" t="s">
        <v>26</v>
      </c>
      <c r="F14" s="39" t="s">
        <v>26</v>
      </c>
      <c r="G14" s="39" t="s">
        <v>93</v>
      </c>
      <c r="H14" s="39" t="s">
        <v>127</v>
      </c>
      <c r="I14" s="39" t="s">
        <v>52</v>
      </c>
      <c r="J14" s="39" t="s">
        <v>27</v>
      </c>
      <c r="K14" s="39" t="s">
        <v>99</v>
      </c>
      <c r="L14" s="39" t="s">
        <v>126</v>
      </c>
      <c r="M14" s="39" t="s">
        <v>125</v>
      </c>
      <c r="N14" s="40" t="s">
        <v>28</v>
      </c>
      <c r="O14" s="40">
        <v>411.8</v>
      </c>
      <c r="P14" s="40">
        <v>2.2389999999999999</v>
      </c>
      <c r="Q14" s="40">
        <v>1</v>
      </c>
      <c r="R14" s="39" t="s">
        <v>29</v>
      </c>
      <c r="S14" s="40">
        <v>2</v>
      </c>
      <c r="T14" s="39" t="s">
        <v>31</v>
      </c>
      <c r="U14" s="39" t="s">
        <v>45</v>
      </c>
      <c r="V14" s="39" t="s">
        <v>124</v>
      </c>
    </row>
    <row r="15" spans="1:23" ht="25.15" customHeight="1" x14ac:dyDescent="0.25">
      <c r="A15" s="38" t="s">
        <v>123</v>
      </c>
      <c r="B15" s="39" t="s">
        <v>102</v>
      </c>
      <c r="C15" s="39" t="s">
        <v>25</v>
      </c>
      <c r="D15" s="39" t="s">
        <v>122</v>
      </c>
      <c r="E15" s="39" t="s">
        <v>26</v>
      </c>
      <c r="F15" s="39" t="s">
        <v>26</v>
      </c>
      <c r="G15" s="39" t="s">
        <v>93</v>
      </c>
      <c r="H15" s="39" t="s">
        <v>121</v>
      </c>
      <c r="I15" s="39" t="s">
        <v>46</v>
      </c>
      <c r="J15" s="39" t="s">
        <v>27</v>
      </c>
      <c r="K15" s="39" t="s">
        <v>99</v>
      </c>
      <c r="L15" s="39" t="s">
        <v>120</v>
      </c>
      <c r="M15" s="39" t="s">
        <v>119</v>
      </c>
      <c r="N15" s="40" t="s">
        <v>28</v>
      </c>
      <c r="O15" s="40">
        <v>1092.6099999999999</v>
      </c>
      <c r="P15" s="40">
        <v>6.6020000000000003</v>
      </c>
      <c r="Q15" s="40">
        <v>3</v>
      </c>
      <c r="R15" s="39" t="s">
        <v>29</v>
      </c>
      <c r="S15" s="40">
        <v>5</v>
      </c>
      <c r="T15" s="39" t="s">
        <v>31</v>
      </c>
      <c r="U15" s="39" t="s">
        <v>49</v>
      </c>
      <c r="V15" s="39" t="s">
        <v>118</v>
      </c>
    </row>
    <row r="16" spans="1:23" ht="25.15" customHeight="1" x14ac:dyDescent="0.25">
      <c r="A16" s="38" t="s">
        <v>117</v>
      </c>
      <c r="B16" s="39" t="s">
        <v>116</v>
      </c>
      <c r="C16" s="39" t="s">
        <v>25</v>
      </c>
      <c r="D16" s="39" t="s">
        <v>115</v>
      </c>
      <c r="E16" s="39" t="s">
        <v>26</v>
      </c>
      <c r="F16" s="39" t="s">
        <v>26</v>
      </c>
      <c r="G16" s="39" t="s">
        <v>93</v>
      </c>
      <c r="H16" s="39" t="s">
        <v>114</v>
      </c>
      <c r="I16" s="41" t="s">
        <v>55</v>
      </c>
      <c r="J16" s="41" t="s">
        <v>53</v>
      </c>
      <c r="K16" s="41" t="s">
        <v>99</v>
      </c>
      <c r="L16" s="41" t="s">
        <v>113</v>
      </c>
      <c r="M16" s="41" t="s">
        <v>112</v>
      </c>
      <c r="N16" s="42" t="s">
        <v>28</v>
      </c>
      <c r="O16" s="42">
        <v>691.79</v>
      </c>
      <c r="P16" s="42">
        <v>4.556</v>
      </c>
      <c r="Q16" s="42">
        <v>2</v>
      </c>
      <c r="R16" s="41" t="s">
        <v>29</v>
      </c>
      <c r="S16" s="42">
        <v>4</v>
      </c>
      <c r="T16" s="41" t="s">
        <v>31</v>
      </c>
      <c r="U16" s="39" t="s">
        <v>77</v>
      </c>
      <c r="V16" s="39" t="s">
        <v>111</v>
      </c>
    </row>
    <row r="17" spans="1:22" ht="25.15" customHeight="1" x14ac:dyDescent="0.25">
      <c r="A17" s="38" t="s">
        <v>110</v>
      </c>
      <c r="B17" s="39" t="s">
        <v>102</v>
      </c>
      <c r="C17" s="39" t="s">
        <v>25</v>
      </c>
      <c r="D17" s="39" t="s">
        <v>109</v>
      </c>
      <c r="E17" s="39" t="s">
        <v>26</v>
      </c>
      <c r="F17" s="39" t="s">
        <v>26</v>
      </c>
      <c r="G17" s="39" t="s">
        <v>93</v>
      </c>
      <c r="H17" s="39" t="s">
        <v>108</v>
      </c>
      <c r="I17" s="39" t="s">
        <v>39</v>
      </c>
      <c r="J17" s="39" t="s">
        <v>27</v>
      </c>
      <c r="K17" s="39" t="s">
        <v>99</v>
      </c>
      <c r="L17" s="39" t="s">
        <v>107</v>
      </c>
      <c r="M17" s="39" t="s">
        <v>106</v>
      </c>
      <c r="N17" s="40" t="s">
        <v>28</v>
      </c>
      <c r="O17" s="40">
        <v>2583.9299999999998</v>
      </c>
      <c r="P17" s="40">
        <v>13.848000000000001</v>
      </c>
      <c r="Q17" s="40">
        <v>5</v>
      </c>
      <c r="R17" s="39" t="s">
        <v>29</v>
      </c>
      <c r="S17" s="40">
        <v>10</v>
      </c>
      <c r="T17" s="39" t="s">
        <v>31</v>
      </c>
      <c r="U17" s="39" t="s">
        <v>105</v>
      </c>
      <c r="V17" s="39" t="s">
        <v>104</v>
      </c>
    </row>
    <row r="18" spans="1:22" ht="25.15" customHeight="1" x14ac:dyDescent="0.25">
      <c r="A18" s="38" t="s">
        <v>103</v>
      </c>
      <c r="B18" s="39" t="s">
        <v>102</v>
      </c>
      <c r="C18" s="39" t="s">
        <v>25</v>
      </c>
      <c r="D18" s="39" t="s">
        <v>101</v>
      </c>
      <c r="E18" s="39" t="s">
        <v>26</v>
      </c>
      <c r="F18" s="39" t="s">
        <v>26</v>
      </c>
      <c r="G18" s="39" t="s">
        <v>93</v>
      </c>
      <c r="H18" s="39" t="s">
        <v>100</v>
      </c>
      <c r="I18" s="39" t="s">
        <v>44</v>
      </c>
      <c r="J18" s="39" t="s">
        <v>42</v>
      </c>
      <c r="K18" s="39" t="s">
        <v>99</v>
      </c>
      <c r="L18" s="39" t="s">
        <v>98</v>
      </c>
      <c r="M18" s="39" t="s">
        <v>97</v>
      </c>
      <c r="N18" s="40" t="s">
        <v>28</v>
      </c>
      <c r="O18" s="40">
        <v>186.82</v>
      </c>
      <c r="P18" s="40">
        <v>0.84799999999999998</v>
      </c>
      <c r="Q18" s="40">
        <v>1</v>
      </c>
      <c r="R18" s="39" t="s">
        <v>29</v>
      </c>
      <c r="S18" s="40">
        <v>1</v>
      </c>
      <c r="T18" s="39" t="s">
        <v>31</v>
      </c>
      <c r="U18" s="39" t="s">
        <v>96</v>
      </c>
      <c r="V18" s="39" t="s">
        <v>95</v>
      </c>
    </row>
    <row r="19" spans="1:22" ht="0" hidden="1" customHeight="1" x14ac:dyDescent="0.25"/>
    <row r="20" spans="1:22" x14ac:dyDescent="0.25">
      <c r="A20" s="43"/>
      <c r="O20" s="43">
        <f>SUM(O7:O19)</f>
        <v>30156.58</v>
      </c>
      <c r="P20" s="43">
        <f>SUM(P7:P19)</f>
        <v>203.85800000000003</v>
      </c>
      <c r="S20" s="43">
        <f>SUM(S7:S19)</f>
        <v>157</v>
      </c>
    </row>
  </sheetData>
  <mergeCells count="5">
    <mergeCell ref="A1:V1"/>
    <mergeCell ref="A2:V2"/>
    <mergeCell ref="A3:V3"/>
    <mergeCell ref="A4:W4"/>
    <mergeCell ref="A5:V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5D8AE-9238-46FF-B2A6-7B831B6035F0}">
  <sheetPr codeName="Sheet25"/>
  <dimension ref="A1:W27"/>
  <sheetViews>
    <sheetView workbookViewId="0">
      <pane ySplit="6" topLeftCell="A14" activePane="bottomLeft" state="frozen"/>
      <selection activeCell="F34" sqref="F34"/>
      <selection pane="bottomLeft" activeCell="K29" sqref="K29"/>
    </sheetView>
  </sheetViews>
  <sheetFormatPr defaultColWidth="8.85546875" defaultRowHeight="15" x14ac:dyDescent="0.25"/>
  <cols>
    <col min="1" max="1" width="11.140625" style="17" customWidth="1"/>
    <col min="2" max="2" width="8.5703125" style="17" bestFit="1" customWidth="1"/>
    <col min="3" max="3" width="9.85546875" style="17" bestFit="1" customWidth="1"/>
    <col min="4" max="4" width="8.7109375" style="17" customWidth="1"/>
    <col min="5" max="5" width="8.42578125" style="17" customWidth="1"/>
    <col min="6" max="6" width="6" style="17" customWidth="1"/>
    <col min="7" max="7" width="8.7109375" style="17" customWidth="1"/>
    <col min="8" max="8" width="7.7109375" style="17" customWidth="1"/>
    <col min="9" max="9" width="14" style="17" customWidth="1"/>
    <col min="10" max="10" width="12.42578125" style="17" customWidth="1"/>
    <col min="11" max="11" width="9.85546875" style="17" customWidth="1"/>
    <col min="12" max="12" width="8.5703125" style="17" customWidth="1"/>
    <col min="13" max="13" width="31.28515625" style="17" hidden="1" customWidth="1"/>
    <col min="14" max="14" width="6.7109375" style="17" customWidth="1"/>
    <col min="15" max="15" width="6.7109375" style="17" bestFit="1" customWidth="1"/>
    <col min="16" max="16" width="6.5703125" style="17" bestFit="1" customWidth="1"/>
    <col min="17" max="17" width="4.7109375" style="17" bestFit="1" customWidth="1"/>
    <col min="18" max="18" width="6.140625" style="17" bestFit="1" customWidth="1"/>
    <col min="19" max="19" width="4.7109375" style="17" bestFit="1" customWidth="1"/>
    <col min="20" max="20" width="6.85546875" style="17" bestFit="1" customWidth="1"/>
    <col min="21" max="21" width="16.85546875" style="17" customWidth="1"/>
    <col min="22" max="22" width="13.28515625" style="17" customWidth="1"/>
    <col min="23" max="23" width="0.28515625" style="17" customWidth="1"/>
    <col min="24" max="16384" width="8.85546875" style="17"/>
  </cols>
  <sheetData>
    <row r="1" spans="1:23" ht="22.15" customHeight="1" x14ac:dyDescent="0.25">
      <c r="A1" s="68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</row>
    <row r="2" spans="1:23" ht="12" customHeight="1" x14ac:dyDescent="0.25">
      <c r="A2" s="70" t="s">
        <v>288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</row>
    <row r="3" spans="1:23" ht="12" customHeight="1" x14ac:dyDescent="0.25">
      <c r="A3" s="71" t="s">
        <v>1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</row>
    <row r="4" spans="1:23" ht="12" customHeight="1" x14ac:dyDescent="0.25">
      <c r="A4" s="71" t="s">
        <v>70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</row>
    <row r="5" spans="1:23" ht="12" customHeight="1" x14ac:dyDescent="0.25">
      <c r="A5" s="71" t="s">
        <v>2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</row>
    <row r="6" spans="1:23" ht="25.15" customHeight="1" x14ac:dyDescent="0.25">
      <c r="A6" s="35" t="s">
        <v>3</v>
      </c>
      <c r="B6" s="36" t="s">
        <v>4</v>
      </c>
      <c r="C6" s="36" t="s">
        <v>5</v>
      </c>
      <c r="D6" s="36" t="s">
        <v>6</v>
      </c>
      <c r="E6" s="36" t="s">
        <v>7</v>
      </c>
      <c r="F6" s="36" t="s">
        <v>8</v>
      </c>
      <c r="G6" s="36" t="s">
        <v>9</v>
      </c>
      <c r="H6" s="36" t="s">
        <v>10</v>
      </c>
      <c r="I6" s="36" t="s">
        <v>11</v>
      </c>
      <c r="J6" s="36" t="s">
        <v>12</v>
      </c>
      <c r="K6" s="36" t="s">
        <v>13</v>
      </c>
      <c r="L6" s="36" t="s">
        <v>14</v>
      </c>
      <c r="M6" s="36" t="s">
        <v>15</v>
      </c>
      <c r="N6" s="37" t="s">
        <v>16</v>
      </c>
      <c r="O6" s="37" t="s">
        <v>17</v>
      </c>
      <c r="P6" s="37" t="s">
        <v>18</v>
      </c>
      <c r="Q6" s="37" t="s">
        <v>19</v>
      </c>
      <c r="R6" s="36" t="s">
        <v>20</v>
      </c>
      <c r="S6" s="37" t="s">
        <v>21</v>
      </c>
      <c r="T6" s="36" t="s">
        <v>22</v>
      </c>
      <c r="U6" s="36" t="s">
        <v>23</v>
      </c>
      <c r="V6" s="36" t="s">
        <v>24</v>
      </c>
    </row>
    <row r="7" spans="1:23" ht="25.15" customHeight="1" x14ac:dyDescent="0.25">
      <c r="A7" s="38" t="s">
        <v>87</v>
      </c>
      <c r="B7" s="39" t="s">
        <v>261</v>
      </c>
      <c r="C7" s="39" t="s">
        <v>41</v>
      </c>
      <c r="D7" s="39" t="s">
        <v>88</v>
      </c>
      <c r="E7" s="39" t="s">
        <v>26</v>
      </c>
      <c r="F7" s="39" t="s">
        <v>26</v>
      </c>
      <c r="G7" s="39" t="s">
        <v>78</v>
      </c>
      <c r="H7" s="39" t="s">
        <v>287</v>
      </c>
      <c r="I7" s="39" t="s">
        <v>33</v>
      </c>
      <c r="J7" s="39" t="s">
        <v>27</v>
      </c>
      <c r="K7" s="39" t="s">
        <v>81</v>
      </c>
      <c r="L7" s="39" t="s">
        <v>30</v>
      </c>
      <c r="M7" s="39" t="s">
        <v>286</v>
      </c>
      <c r="N7" s="40" t="s">
        <v>34</v>
      </c>
      <c r="O7" s="40">
        <v>34.65</v>
      </c>
      <c r="P7" s="40">
        <v>0.56699999999999995</v>
      </c>
      <c r="Q7" s="40">
        <v>7</v>
      </c>
      <c r="R7" s="39" t="s">
        <v>35</v>
      </c>
      <c r="S7" s="40" t="s">
        <v>30</v>
      </c>
      <c r="T7" s="39"/>
      <c r="U7" s="39" t="s">
        <v>285</v>
      </c>
      <c r="V7" s="39" t="s">
        <v>79</v>
      </c>
    </row>
    <row r="8" spans="1:23" ht="25.15" customHeight="1" x14ac:dyDescent="0.25">
      <c r="A8" s="38" t="s">
        <v>284</v>
      </c>
      <c r="B8" s="39" t="s">
        <v>273</v>
      </c>
      <c r="C8" s="39" t="s">
        <v>25</v>
      </c>
      <c r="D8" s="39" t="s">
        <v>283</v>
      </c>
      <c r="E8" s="39" t="s">
        <v>26</v>
      </c>
      <c r="F8" s="39" t="s">
        <v>26</v>
      </c>
      <c r="G8" s="39" t="s">
        <v>174</v>
      </c>
      <c r="H8" s="39" t="s">
        <v>282</v>
      </c>
      <c r="I8" s="39" t="s">
        <v>47</v>
      </c>
      <c r="J8" s="39" t="s">
        <v>27</v>
      </c>
      <c r="K8" s="39" t="s">
        <v>176</v>
      </c>
      <c r="L8" s="39" t="s">
        <v>277</v>
      </c>
      <c r="M8" s="39" t="s">
        <v>281</v>
      </c>
      <c r="N8" s="40" t="s">
        <v>34</v>
      </c>
      <c r="O8" s="40">
        <v>34.82</v>
      </c>
      <c r="P8" s="40">
        <v>0.34799999999999998</v>
      </c>
      <c r="Q8" s="40">
        <v>48</v>
      </c>
      <c r="R8" s="39" t="s">
        <v>35</v>
      </c>
      <c r="S8" s="40" t="s">
        <v>30</v>
      </c>
      <c r="T8" s="39"/>
      <c r="U8" s="39" t="s">
        <v>275</v>
      </c>
      <c r="V8" s="39" t="s">
        <v>268</v>
      </c>
    </row>
    <row r="9" spans="1:23" ht="25.15" customHeight="1" x14ac:dyDescent="0.25">
      <c r="A9" s="38" t="s">
        <v>280</v>
      </c>
      <c r="B9" s="39" t="s">
        <v>273</v>
      </c>
      <c r="C9" s="39" t="s">
        <v>25</v>
      </c>
      <c r="D9" s="39" t="s">
        <v>279</v>
      </c>
      <c r="E9" s="39" t="s">
        <v>26</v>
      </c>
      <c r="F9" s="39" t="s">
        <v>26</v>
      </c>
      <c r="G9" s="39" t="s">
        <v>174</v>
      </c>
      <c r="H9" s="39" t="s">
        <v>278</v>
      </c>
      <c r="I9" s="39" t="s">
        <v>47</v>
      </c>
      <c r="J9" s="39" t="s">
        <v>27</v>
      </c>
      <c r="K9" s="39" t="s">
        <v>176</v>
      </c>
      <c r="L9" s="39" t="s">
        <v>277</v>
      </c>
      <c r="M9" s="39" t="s">
        <v>276</v>
      </c>
      <c r="N9" s="40" t="s">
        <v>34</v>
      </c>
      <c r="O9" s="40">
        <v>1</v>
      </c>
      <c r="P9" s="40">
        <v>0.02</v>
      </c>
      <c r="Q9" s="40">
        <v>2</v>
      </c>
      <c r="R9" s="39" t="s">
        <v>35</v>
      </c>
      <c r="S9" s="40" t="s">
        <v>30</v>
      </c>
      <c r="T9" s="39"/>
      <c r="U9" s="39" t="s">
        <v>275</v>
      </c>
      <c r="V9" s="39" t="s">
        <v>68</v>
      </c>
    </row>
    <row r="10" spans="1:23" ht="25.15" customHeight="1" x14ac:dyDescent="0.25">
      <c r="A10" s="38" t="s">
        <v>274</v>
      </c>
      <c r="B10" s="39" t="s">
        <v>273</v>
      </c>
      <c r="C10" s="39" t="s">
        <v>25</v>
      </c>
      <c r="D10" s="39" t="s">
        <v>266</v>
      </c>
      <c r="E10" s="39" t="s">
        <v>26</v>
      </c>
      <c r="F10" s="39" t="s">
        <v>26</v>
      </c>
      <c r="G10" s="39" t="s">
        <v>174</v>
      </c>
      <c r="H10" s="39" t="s">
        <v>272</v>
      </c>
      <c r="I10" s="39" t="s">
        <v>47</v>
      </c>
      <c r="J10" s="39" t="s">
        <v>27</v>
      </c>
      <c r="K10" s="39" t="s">
        <v>176</v>
      </c>
      <c r="L10" s="39" t="s">
        <v>271</v>
      </c>
      <c r="M10" s="39" t="s">
        <v>270</v>
      </c>
      <c r="N10" s="40" t="s">
        <v>28</v>
      </c>
      <c r="O10" s="40">
        <v>1584.54</v>
      </c>
      <c r="P10" s="40">
        <v>8.7240000000000002</v>
      </c>
      <c r="Q10" s="40">
        <v>4</v>
      </c>
      <c r="R10" s="39" t="s">
        <v>29</v>
      </c>
      <c r="S10" s="40">
        <v>7</v>
      </c>
      <c r="T10" s="39" t="s">
        <v>31</v>
      </c>
      <c r="U10" s="39" t="s">
        <v>269</v>
      </c>
      <c r="V10" s="39" t="s">
        <v>268</v>
      </c>
    </row>
    <row r="11" spans="1:23" ht="25.15" customHeight="1" x14ac:dyDescent="0.25">
      <c r="A11" s="38" t="s">
        <v>267</v>
      </c>
      <c r="B11" s="39" t="s">
        <v>261</v>
      </c>
      <c r="C11" s="39" t="s">
        <v>41</v>
      </c>
      <c r="D11" s="39" t="s">
        <v>266</v>
      </c>
      <c r="E11" s="39" t="s">
        <v>26</v>
      </c>
      <c r="F11" s="39" t="s">
        <v>26</v>
      </c>
      <c r="G11" s="39" t="s">
        <v>174</v>
      </c>
      <c r="H11" s="39" t="s">
        <v>265</v>
      </c>
      <c r="I11" s="39" t="s">
        <v>33</v>
      </c>
      <c r="J11" s="39" t="s">
        <v>27</v>
      </c>
      <c r="K11" s="39" t="s">
        <v>176</v>
      </c>
      <c r="L11" s="39" t="s">
        <v>30</v>
      </c>
      <c r="M11" s="39" t="s">
        <v>264</v>
      </c>
      <c r="N11" s="40" t="s">
        <v>28</v>
      </c>
      <c r="O11" s="40">
        <v>2683</v>
      </c>
      <c r="P11" s="40">
        <v>15.106</v>
      </c>
      <c r="Q11" s="40">
        <v>6</v>
      </c>
      <c r="R11" s="39" t="s">
        <v>29</v>
      </c>
      <c r="S11" s="40">
        <v>12</v>
      </c>
      <c r="T11" s="39" t="s">
        <v>31</v>
      </c>
      <c r="U11" s="39" t="s">
        <v>64</v>
      </c>
      <c r="V11" s="39" t="s">
        <v>263</v>
      </c>
    </row>
    <row r="12" spans="1:23" ht="25.15" customHeight="1" x14ac:dyDescent="0.25">
      <c r="A12" s="38" t="s">
        <v>262</v>
      </c>
      <c r="B12" s="39" t="s">
        <v>261</v>
      </c>
      <c r="C12" s="39" t="s">
        <v>41</v>
      </c>
      <c r="D12" s="39" t="s">
        <v>260</v>
      </c>
      <c r="E12" s="39" t="s">
        <v>26</v>
      </c>
      <c r="F12" s="39" t="s">
        <v>26</v>
      </c>
      <c r="G12" s="39" t="s">
        <v>174</v>
      </c>
      <c r="H12" s="39" t="s">
        <v>259</v>
      </c>
      <c r="I12" s="39" t="s">
        <v>39</v>
      </c>
      <c r="J12" s="39" t="s">
        <v>27</v>
      </c>
      <c r="K12" s="39" t="s">
        <v>176</v>
      </c>
      <c r="L12" s="39" t="s">
        <v>30</v>
      </c>
      <c r="M12" s="39" t="s">
        <v>258</v>
      </c>
      <c r="N12" s="40" t="s">
        <v>28</v>
      </c>
      <c r="O12" s="40">
        <v>3143.8</v>
      </c>
      <c r="P12" s="40">
        <v>16.27</v>
      </c>
      <c r="Q12" s="40">
        <v>6</v>
      </c>
      <c r="R12" s="39" t="s">
        <v>29</v>
      </c>
      <c r="S12" s="40">
        <v>12</v>
      </c>
      <c r="T12" s="39" t="s">
        <v>31</v>
      </c>
      <c r="U12" s="39" t="s">
        <v>64</v>
      </c>
      <c r="V12" s="39" t="s">
        <v>257</v>
      </c>
    </row>
    <row r="13" spans="1:23" ht="25.15" customHeight="1" x14ac:dyDescent="0.25">
      <c r="A13" s="38" t="s">
        <v>256</v>
      </c>
      <c r="B13" s="39" t="s">
        <v>255</v>
      </c>
      <c r="C13" s="39" t="s">
        <v>41</v>
      </c>
      <c r="D13" s="39" t="s">
        <v>254</v>
      </c>
      <c r="E13" s="39" t="s">
        <v>26</v>
      </c>
      <c r="F13" s="39" t="s">
        <v>26</v>
      </c>
      <c r="G13" s="39" t="s">
        <v>174</v>
      </c>
      <c r="H13" s="39" t="s">
        <v>253</v>
      </c>
      <c r="I13" s="39" t="s">
        <v>40</v>
      </c>
      <c r="J13" s="39" t="s">
        <v>27</v>
      </c>
      <c r="K13" s="39" t="s">
        <v>176</v>
      </c>
      <c r="L13" s="39" t="s">
        <v>30</v>
      </c>
      <c r="M13" s="39" t="s">
        <v>252</v>
      </c>
      <c r="N13" s="40" t="s">
        <v>28</v>
      </c>
      <c r="O13" s="40">
        <v>10326.040000000001</v>
      </c>
      <c r="P13" s="40">
        <v>98.557000000000002</v>
      </c>
      <c r="Q13" s="40">
        <v>33</v>
      </c>
      <c r="R13" s="39" t="s">
        <v>29</v>
      </c>
      <c r="S13" s="40">
        <v>66</v>
      </c>
      <c r="T13" s="39" t="s">
        <v>31</v>
      </c>
      <c r="U13" s="39" t="s">
        <v>251</v>
      </c>
      <c r="V13" s="39" t="s">
        <v>250</v>
      </c>
    </row>
    <row r="14" spans="1:23" ht="25.15" customHeight="1" x14ac:dyDescent="0.25">
      <c r="A14" s="38" t="s">
        <v>249</v>
      </c>
      <c r="B14" s="39" t="s">
        <v>248</v>
      </c>
      <c r="C14" s="39" t="s">
        <v>41</v>
      </c>
      <c r="D14" s="39" t="s">
        <v>247</v>
      </c>
      <c r="E14" s="39" t="s">
        <v>26</v>
      </c>
      <c r="F14" s="39" t="s">
        <v>26</v>
      </c>
      <c r="G14" s="39" t="s">
        <v>176</v>
      </c>
      <c r="H14" s="39" t="s">
        <v>246</v>
      </c>
      <c r="I14" s="44" t="s">
        <v>245</v>
      </c>
      <c r="J14" s="44" t="s">
        <v>244</v>
      </c>
      <c r="K14" s="44" t="s">
        <v>175</v>
      </c>
      <c r="L14" s="44" t="s">
        <v>30</v>
      </c>
      <c r="M14" s="44" t="s">
        <v>243</v>
      </c>
      <c r="N14" s="54" t="s">
        <v>28</v>
      </c>
      <c r="O14" s="54">
        <v>62.84</v>
      </c>
      <c r="P14" s="54">
        <v>0.57599999999999996</v>
      </c>
      <c r="Q14" s="54">
        <v>1</v>
      </c>
      <c r="R14" s="44" t="s">
        <v>29</v>
      </c>
      <c r="S14" s="54">
        <v>1</v>
      </c>
      <c r="T14" s="44" t="s">
        <v>31</v>
      </c>
      <c r="U14" s="39" t="s">
        <v>242</v>
      </c>
      <c r="V14" s="39" t="s">
        <v>241</v>
      </c>
    </row>
    <row r="15" spans="1:23" ht="25.15" customHeight="1" x14ac:dyDescent="0.25">
      <c r="A15" s="38" t="s">
        <v>240</v>
      </c>
      <c r="B15" s="39" t="s">
        <v>193</v>
      </c>
      <c r="C15" s="39" t="s">
        <v>41</v>
      </c>
      <c r="D15" s="39" t="s">
        <v>239</v>
      </c>
      <c r="E15" s="39" t="s">
        <v>26</v>
      </c>
      <c r="F15" s="39" t="s">
        <v>26</v>
      </c>
      <c r="G15" s="39" t="s">
        <v>176</v>
      </c>
      <c r="H15" s="39" t="s">
        <v>238</v>
      </c>
      <c r="I15" s="39" t="s">
        <v>32</v>
      </c>
      <c r="J15" s="39" t="s">
        <v>27</v>
      </c>
      <c r="K15" s="39" t="s">
        <v>175</v>
      </c>
      <c r="L15" s="39" t="s">
        <v>30</v>
      </c>
      <c r="M15" s="39" t="s">
        <v>237</v>
      </c>
      <c r="N15" s="40" t="s">
        <v>28</v>
      </c>
      <c r="O15" s="40">
        <v>2263.2600000000002</v>
      </c>
      <c r="P15" s="40">
        <v>12.99</v>
      </c>
      <c r="Q15" s="40">
        <v>5</v>
      </c>
      <c r="R15" s="39" t="s">
        <v>29</v>
      </c>
      <c r="S15" s="40">
        <v>10</v>
      </c>
      <c r="T15" s="39" t="s">
        <v>31</v>
      </c>
      <c r="U15" s="39" t="s">
        <v>57</v>
      </c>
      <c r="V15" s="39" t="s">
        <v>236</v>
      </c>
    </row>
    <row r="16" spans="1:23" ht="25.15" customHeight="1" x14ac:dyDescent="0.25">
      <c r="A16" s="38" t="s">
        <v>235</v>
      </c>
      <c r="B16" s="39" t="s">
        <v>193</v>
      </c>
      <c r="C16" s="39" t="s">
        <v>41</v>
      </c>
      <c r="D16" s="39" t="s">
        <v>234</v>
      </c>
      <c r="E16" s="39" t="s">
        <v>26</v>
      </c>
      <c r="F16" s="39" t="s">
        <v>26</v>
      </c>
      <c r="G16" s="39" t="s">
        <v>176</v>
      </c>
      <c r="H16" s="39" t="s">
        <v>233</v>
      </c>
      <c r="I16" s="39" t="s">
        <v>43</v>
      </c>
      <c r="J16" s="39" t="s">
        <v>27</v>
      </c>
      <c r="K16" s="39" t="s">
        <v>175</v>
      </c>
      <c r="L16" s="39" t="s">
        <v>30</v>
      </c>
      <c r="M16" s="39" t="s">
        <v>232</v>
      </c>
      <c r="N16" s="40" t="s">
        <v>28</v>
      </c>
      <c r="O16" s="40">
        <v>48.93</v>
      </c>
      <c r="P16" s="40">
        <v>0.375</v>
      </c>
      <c r="Q16" s="40">
        <v>1</v>
      </c>
      <c r="R16" s="39" t="s">
        <v>29</v>
      </c>
      <c r="S16" s="40">
        <v>1</v>
      </c>
      <c r="T16" s="39" t="s">
        <v>31</v>
      </c>
      <c r="U16" s="39" t="s">
        <v>69</v>
      </c>
      <c r="V16" s="39" t="s">
        <v>231</v>
      </c>
    </row>
    <row r="17" spans="1:22" ht="25.15" customHeight="1" x14ac:dyDescent="0.25">
      <c r="A17" s="38" t="s">
        <v>230</v>
      </c>
      <c r="B17" s="39" t="s">
        <v>193</v>
      </c>
      <c r="C17" s="39" t="s">
        <v>41</v>
      </c>
      <c r="D17" s="39" t="s">
        <v>224</v>
      </c>
      <c r="E17" s="39" t="s">
        <v>26</v>
      </c>
      <c r="F17" s="39" t="s">
        <v>26</v>
      </c>
      <c r="G17" s="39" t="s">
        <v>176</v>
      </c>
      <c r="H17" s="39" t="s">
        <v>229</v>
      </c>
      <c r="I17" s="39" t="s">
        <v>54</v>
      </c>
      <c r="J17" s="39" t="s">
        <v>27</v>
      </c>
      <c r="K17" s="39" t="s">
        <v>175</v>
      </c>
      <c r="L17" s="39" t="s">
        <v>30</v>
      </c>
      <c r="M17" s="39" t="s">
        <v>228</v>
      </c>
      <c r="N17" s="40" t="s">
        <v>28</v>
      </c>
      <c r="O17" s="40">
        <v>54.89</v>
      </c>
      <c r="P17" s="40">
        <v>0.40200000000000002</v>
      </c>
      <c r="Q17" s="40">
        <v>1</v>
      </c>
      <c r="R17" s="39" t="s">
        <v>29</v>
      </c>
      <c r="S17" s="40">
        <v>1</v>
      </c>
      <c r="T17" s="39" t="s">
        <v>31</v>
      </c>
      <c r="U17" s="39" t="s">
        <v>69</v>
      </c>
      <c r="V17" s="39" t="s">
        <v>227</v>
      </c>
    </row>
    <row r="18" spans="1:22" ht="25.15" customHeight="1" x14ac:dyDescent="0.25">
      <c r="A18" s="38" t="s">
        <v>226</v>
      </c>
      <c r="B18" s="39" t="s">
        <v>225</v>
      </c>
      <c r="C18" s="39" t="s">
        <v>41</v>
      </c>
      <c r="D18" s="39" t="s">
        <v>224</v>
      </c>
      <c r="E18" s="39" t="s">
        <v>26</v>
      </c>
      <c r="F18" s="39" t="s">
        <v>26</v>
      </c>
      <c r="G18" s="39" t="s">
        <v>176</v>
      </c>
      <c r="H18" s="39" t="s">
        <v>223</v>
      </c>
      <c r="I18" s="39" t="s">
        <v>46</v>
      </c>
      <c r="J18" s="39" t="s">
        <v>27</v>
      </c>
      <c r="K18" s="39" t="s">
        <v>175</v>
      </c>
      <c r="L18" s="39" t="s">
        <v>30</v>
      </c>
      <c r="M18" s="39" t="s">
        <v>222</v>
      </c>
      <c r="N18" s="40" t="s">
        <v>34</v>
      </c>
      <c r="O18" s="40">
        <v>7.44</v>
      </c>
      <c r="P18" s="40">
        <v>7.5999999999999998E-2</v>
      </c>
      <c r="Q18" s="40">
        <v>8</v>
      </c>
      <c r="R18" s="39" t="s">
        <v>35</v>
      </c>
      <c r="S18" s="40" t="s">
        <v>30</v>
      </c>
      <c r="T18" s="39"/>
      <c r="U18" s="39" t="s">
        <v>221</v>
      </c>
      <c r="V18" s="39" t="s">
        <v>220</v>
      </c>
    </row>
    <row r="19" spans="1:22" ht="25.15" customHeight="1" x14ac:dyDescent="0.25">
      <c r="A19" s="38" t="s">
        <v>219</v>
      </c>
      <c r="B19" s="39" t="s">
        <v>218</v>
      </c>
      <c r="C19" s="39" t="s">
        <v>41</v>
      </c>
      <c r="D19" s="39" t="s">
        <v>217</v>
      </c>
      <c r="E19" s="39" t="s">
        <v>26</v>
      </c>
      <c r="F19" s="39" t="s">
        <v>26</v>
      </c>
      <c r="G19" s="39" t="s">
        <v>176</v>
      </c>
      <c r="H19" s="39" t="s">
        <v>216</v>
      </c>
      <c r="I19" s="41" t="s">
        <v>50</v>
      </c>
      <c r="J19" s="41" t="s">
        <v>38</v>
      </c>
      <c r="K19" s="41" t="s">
        <v>175</v>
      </c>
      <c r="L19" s="41" t="s">
        <v>30</v>
      </c>
      <c r="M19" s="41" t="s">
        <v>215</v>
      </c>
      <c r="N19" s="42" t="s">
        <v>28</v>
      </c>
      <c r="O19" s="42">
        <v>2061.62</v>
      </c>
      <c r="P19" s="42">
        <v>12.067</v>
      </c>
      <c r="Q19" s="42">
        <v>5</v>
      </c>
      <c r="R19" s="41" t="s">
        <v>29</v>
      </c>
      <c r="S19" s="42">
        <v>9</v>
      </c>
      <c r="T19" s="41" t="s">
        <v>31</v>
      </c>
      <c r="U19" s="39" t="s">
        <v>214</v>
      </c>
      <c r="V19" s="39" t="s">
        <v>213</v>
      </c>
    </row>
    <row r="20" spans="1:22" ht="25.15" customHeight="1" x14ac:dyDescent="0.25">
      <c r="A20" s="38" t="s">
        <v>212</v>
      </c>
      <c r="B20" s="39" t="s">
        <v>200</v>
      </c>
      <c r="C20" s="39" t="s">
        <v>41</v>
      </c>
      <c r="D20" s="39" t="s">
        <v>211</v>
      </c>
      <c r="E20" s="39" t="s">
        <v>26</v>
      </c>
      <c r="F20" s="39" t="s">
        <v>26</v>
      </c>
      <c r="G20" s="39" t="s">
        <v>176</v>
      </c>
      <c r="H20" s="39" t="s">
        <v>210</v>
      </c>
      <c r="I20" s="41" t="s">
        <v>37</v>
      </c>
      <c r="J20" s="41" t="s">
        <v>38</v>
      </c>
      <c r="K20" s="41" t="s">
        <v>175</v>
      </c>
      <c r="L20" s="41" t="s">
        <v>30</v>
      </c>
      <c r="M20" s="41" t="s">
        <v>209</v>
      </c>
      <c r="N20" s="42" t="s">
        <v>28</v>
      </c>
      <c r="O20" s="42">
        <v>743.2</v>
      </c>
      <c r="P20" s="42">
        <v>6.524</v>
      </c>
      <c r="Q20" s="42">
        <v>2</v>
      </c>
      <c r="R20" s="41" t="s">
        <v>29</v>
      </c>
      <c r="S20" s="42">
        <v>5</v>
      </c>
      <c r="T20" s="41" t="s">
        <v>31</v>
      </c>
      <c r="U20" s="39" t="s">
        <v>56</v>
      </c>
      <c r="V20" s="39" t="s">
        <v>208</v>
      </c>
    </row>
    <row r="21" spans="1:22" ht="25.15" customHeight="1" x14ac:dyDescent="0.25">
      <c r="A21" s="38" t="s">
        <v>207</v>
      </c>
      <c r="B21" s="39" t="s">
        <v>206</v>
      </c>
      <c r="C21" s="39" t="s">
        <v>41</v>
      </c>
      <c r="D21" s="39" t="s">
        <v>205</v>
      </c>
      <c r="E21" s="39" t="s">
        <v>26</v>
      </c>
      <c r="F21" s="39" t="s">
        <v>26</v>
      </c>
      <c r="G21" s="39" t="s">
        <v>176</v>
      </c>
      <c r="H21" s="39" t="s">
        <v>204</v>
      </c>
      <c r="I21" s="39" t="s">
        <v>37</v>
      </c>
      <c r="J21" s="39" t="s">
        <v>27</v>
      </c>
      <c r="K21" s="39" t="s">
        <v>175</v>
      </c>
      <c r="L21" s="39" t="s">
        <v>30</v>
      </c>
      <c r="M21" s="39" t="s">
        <v>203</v>
      </c>
      <c r="N21" s="40" t="s">
        <v>28</v>
      </c>
      <c r="O21" s="40">
        <v>3728</v>
      </c>
      <c r="P21" s="40">
        <v>36.396999999999998</v>
      </c>
      <c r="Q21" s="40">
        <v>14</v>
      </c>
      <c r="R21" s="39" t="s">
        <v>29</v>
      </c>
      <c r="S21" s="40">
        <v>28</v>
      </c>
      <c r="T21" s="39" t="s">
        <v>31</v>
      </c>
      <c r="U21" s="39" t="s">
        <v>80</v>
      </c>
      <c r="V21" s="39" t="s">
        <v>202</v>
      </c>
    </row>
    <row r="22" spans="1:22" ht="25.15" customHeight="1" x14ac:dyDescent="0.25">
      <c r="A22" s="38" t="s">
        <v>201</v>
      </c>
      <c r="B22" s="39" t="s">
        <v>200</v>
      </c>
      <c r="C22" s="39" t="s">
        <v>41</v>
      </c>
      <c r="D22" s="39" t="s">
        <v>199</v>
      </c>
      <c r="E22" s="39" t="s">
        <v>26</v>
      </c>
      <c r="F22" s="39" t="s">
        <v>26</v>
      </c>
      <c r="G22" s="39" t="s">
        <v>176</v>
      </c>
      <c r="H22" s="39" t="s">
        <v>198</v>
      </c>
      <c r="I22" s="41" t="s">
        <v>37</v>
      </c>
      <c r="J22" s="41" t="s">
        <v>38</v>
      </c>
      <c r="K22" s="41" t="s">
        <v>175</v>
      </c>
      <c r="L22" s="41" t="s">
        <v>30</v>
      </c>
      <c r="M22" s="41" t="s">
        <v>197</v>
      </c>
      <c r="N22" s="42" t="s">
        <v>28</v>
      </c>
      <c r="O22" s="42">
        <v>7157.2</v>
      </c>
      <c r="P22" s="42">
        <v>64.587999999999994</v>
      </c>
      <c r="Q22" s="42">
        <v>22</v>
      </c>
      <c r="R22" s="41" t="s">
        <v>29</v>
      </c>
      <c r="S22" s="42">
        <v>43</v>
      </c>
      <c r="T22" s="41" t="s">
        <v>31</v>
      </c>
      <c r="U22" s="39" t="s">
        <v>196</v>
      </c>
      <c r="V22" s="39" t="s">
        <v>195</v>
      </c>
    </row>
    <row r="23" spans="1:22" ht="25.15" customHeight="1" x14ac:dyDescent="0.25">
      <c r="A23" s="38" t="s">
        <v>194</v>
      </c>
      <c r="B23" s="39" t="s">
        <v>193</v>
      </c>
      <c r="C23" s="39" t="s">
        <v>41</v>
      </c>
      <c r="D23" s="39" t="s">
        <v>192</v>
      </c>
      <c r="E23" s="39" t="s">
        <v>26</v>
      </c>
      <c r="F23" s="39" t="s">
        <v>26</v>
      </c>
      <c r="G23" s="39" t="s">
        <v>176</v>
      </c>
      <c r="H23" s="39" t="s">
        <v>191</v>
      </c>
      <c r="I23" s="39" t="s">
        <v>33</v>
      </c>
      <c r="J23" s="39" t="s">
        <v>27</v>
      </c>
      <c r="K23" s="39" t="s">
        <v>175</v>
      </c>
      <c r="L23" s="39" t="s">
        <v>30</v>
      </c>
      <c r="M23" s="39" t="s">
        <v>190</v>
      </c>
      <c r="N23" s="40" t="s">
        <v>28</v>
      </c>
      <c r="O23" s="40">
        <v>111.36</v>
      </c>
      <c r="P23" s="40">
        <v>0.49299999999999999</v>
      </c>
      <c r="Q23" s="40">
        <v>1</v>
      </c>
      <c r="R23" s="39" t="s">
        <v>29</v>
      </c>
      <c r="S23" s="40">
        <v>1</v>
      </c>
      <c r="T23" s="39" t="s">
        <v>31</v>
      </c>
      <c r="U23" s="39" t="s">
        <v>67</v>
      </c>
      <c r="V23" s="39" t="s">
        <v>189</v>
      </c>
    </row>
    <row r="24" spans="1:22" ht="25.15" customHeight="1" x14ac:dyDescent="0.25">
      <c r="A24" s="38" t="s">
        <v>188</v>
      </c>
      <c r="B24" s="39" t="s">
        <v>181</v>
      </c>
      <c r="C24" s="39" t="s">
        <v>41</v>
      </c>
      <c r="D24" s="39" t="s">
        <v>187</v>
      </c>
      <c r="E24" s="39" t="s">
        <v>26</v>
      </c>
      <c r="F24" s="39" t="s">
        <v>26</v>
      </c>
      <c r="G24" s="39" t="s">
        <v>176</v>
      </c>
      <c r="H24" s="39" t="s">
        <v>186</v>
      </c>
      <c r="I24" s="39" t="s">
        <v>65</v>
      </c>
      <c r="J24" s="39" t="s">
        <v>27</v>
      </c>
      <c r="K24" s="39" t="s">
        <v>175</v>
      </c>
      <c r="L24" s="39" t="s">
        <v>30</v>
      </c>
      <c r="M24" s="39" t="s">
        <v>185</v>
      </c>
      <c r="N24" s="40" t="s">
        <v>34</v>
      </c>
      <c r="O24" s="40">
        <v>25.77</v>
      </c>
      <c r="P24" s="40">
        <v>0.16800000000000001</v>
      </c>
      <c r="Q24" s="40">
        <v>3</v>
      </c>
      <c r="R24" s="39" t="s">
        <v>35</v>
      </c>
      <c r="S24" s="40" t="s">
        <v>30</v>
      </c>
      <c r="T24" s="39"/>
      <c r="U24" s="39" t="s">
        <v>184</v>
      </c>
      <c r="V24" s="39" t="s">
        <v>183</v>
      </c>
    </row>
    <row r="25" spans="1:22" ht="25.15" customHeight="1" x14ac:dyDescent="0.25">
      <c r="A25" s="38" t="s">
        <v>182</v>
      </c>
      <c r="B25" s="39" t="s">
        <v>181</v>
      </c>
      <c r="C25" s="39" t="s">
        <v>41</v>
      </c>
      <c r="D25" s="39" t="s">
        <v>180</v>
      </c>
      <c r="E25" s="39" t="s">
        <v>26</v>
      </c>
      <c r="F25" s="39" t="s">
        <v>26</v>
      </c>
      <c r="G25" s="39" t="s">
        <v>176</v>
      </c>
      <c r="H25" s="39" t="s">
        <v>179</v>
      </c>
      <c r="I25" s="39" t="s">
        <v>65</v>
      </c>
      <c r="J25" s="39" t="s">
        <v>27</v>
      </c>
      <c r="K25" s="39" t="s">
        <v>175</v>
      </c>
      <c r="L25" s="39" t="s">
        <v>30</v>
      </c>
      <c r="M25" s="39" t="s">
        <v>178</v>
      </c>
      <c r="N25" s="40" t="s">
        <v>34</v>
      </c>
      <c r="O25" s="40">
        <v>13.69</v>
      </c>
      <c r="P25" s="40">
        <v>8.5999999999999993E-2</v>
      </c>
      <c r="Q25" s="40">
        <v>2</v>
      </c>
      <c r="R25" s="39" t="s">
        <v>35</v>
      </c>
      <c r="S25" s="40" t="s">
        <v>30</v>
      </c>
      <c r="T25" s="39"/>
      <c r="U25" s="39" t="s">
        <v>91</v>
      </c>
      <c r="V25" s="39" t="s">
        <v>177</v>
      </c>
    </row>
    <row r="26" spans="1:22" ht="0" hidden="1" customHeight="1" x14ac:dyDescent="0.25"/>
    <row r="27" spans="1:22" x14ac:dyDescent="0.25">
      <c r="A27" s="43"/>
      <c r="O27" s="43">
        <f>SUM(O7:O26)</f>
        <v>34086.050000000003</v>
      </c>
      <c r="P27" s="43">
        <f>SUM(P7:P26)</f>
        <v>274.334</v>
      </c>
      <c r="S27" s="43">
        <f>SUM(S7:S25)</f>
        <v>196</v>
      </c>
    </row>
  </sheetData>
  <mergeCells count="5">
    <mergeCell ref="A1:V1"/>
    <mergeCell ref="A2:V2"/>
    <mergeCell ref="A3:V3"/>
    <mergeCell ref="A4:W4"/>
    <mergeCell ref="A5:V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July 2025 Summary</vt:lpstr>
      <vt:lpstr>28.07.25</vt:lpstr>
      <vt:lpstr>31.07.25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Purcell</dc:creator>
  <cp:lastModifiedBy>Jordan Withell</cp:lastModifiedBy>
  <cp:lastPrinted>2025-07-17T20:59:31Z</cp:lastPrinted>
  <dcterms:created xsi:type="dcterms:W3CDTF">2025-07-07T19:24:30Z</dcterms:created>
  <dcterms:modified xsi:type="dcterms:W3CDTF">2026-03-16T06:22:13Z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